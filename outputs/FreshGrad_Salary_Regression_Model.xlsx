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Parameters" sheetId="1" state="visible" r:id="rId1"/>
    <sheet name="Data_and_Residuals" sheetId="2" state="visible" r:id="rId2"/>
    <sheet name="OLS_Native_Formulas" sheetId="3" state="visible" r:id="rId3"/>
    <sheet name="Summary_Dashboard" sheetId="4" state="visible" r:id="rId4"/>
    <sheet name="Policy_Simulation" sheetId="5" state="visible" r:id="rId5"/>
    <sheet name="Notes" sheetId="6" state="visible" r:id="rId6"/>
  </sheets>
  <definedNames>
    <definedName name="Policy_Floor">'Parameters'!$B$4</definedName>
    <definedName name="New_Min_Wage">'Parameters'!$B$5</definedName>
    <definedName name="Current_Min_Wage">'Parameters'!$B$6</definedName>
    <definedName name="Compression_Ceiling">'Parameters'!$B$7</definedName>
    <definedName name="Compression_Alpha">'Parameters'!$B$8</definedName>
    <definedName name="EPF_Employer">'Parameters'!$B$9</definedName>
    <definedName name="EPF_Employee">'Parameters'!$B$10</definedName>
    <definedName name="SOCSO_Employer">'Parameters'!$B$11</definedName>
    <definedName name="SOCSO_Employee">'Parameters'!$B$12</definedName>
    <definedName name="EIS_Employer">'Parameters'!$B$13</definedName>
    <definedName name="EIS_Employee">'Parameters'!$B$14</definedName>
    <definedName name="HRD_Levy">'Parameters'!$B$15</definedName>
    <definedName name="CGPA_Mean">'Parameters'!$B$16</definedName>
    <definedName name="X_Matrix">'Data_and_Residuals'!$H$2:$M$1001</definedName>
    <definedName name="X_NoConst">'Data_and_Residuals'!$I$2:$M$1001</definedName>
    <definedName name="Y_Vector">'Data_and_Residuals'!$N$2:$N$1001</definedName>
    <definedName name="Residuals">'Data_and_Residuals'!$P$2:$P$1001</definedName>
    <definedName name="Beta_0">'OLS_Native_Formulas'!$B$15</definedName>
    <definedName name="Beta_1">'OLS_Native_Formulas'!$B$16</definedName>
    <definedName name="Beta_2">'OLS_Native_Formulas'!$B$17</definedName>
    <definedName name="Beta_3">'OLS_Native_Formulas'!$B$18</definedName>
    <definedName name="Beta_4">'OLS_Native_Formulas'!$B$19</definedName>
    <definedName name="Beta_5">'OLS_Native_Formulas'!$B$20</definedName>
    <definedName name="XtX_Inverse">'OLS_Native_Formulas'!$B$24:$G$29</definedName>
    <definedName name="N_Obs">'OLS_Native_Formulas'!$B$33</definedName>
    <definedName name="N_Params">'OLS_Native_Formulas'!$B$34</definedName>
    <definedName name="DF_Residual">'OLS_Native_Formulas'!$B$35</definedName>
    <definedName name="SS_Residual">'OLS_Native_Formulas'!$B$36</definedName>
    <definedName name="SS_Total">'OLS_Native_Formulas'!$B$37</definedName>
    <definedName name="Residual_Variance">'OLS_Native_Formulas'!$B$38</definedName>
    <definedName name="R_Squared">'OLS_Native_Formulas'!$B$39</definedName>
    <definedName name="Adj_R_Squared">'OLS_Native_Formulas'!$B$40</definedName>
    <definedName name="F_Statistic">'OLS_Native_Formulas'!$B$41</definedName>
    <definedName name="F_P_Value">'OLS_Native_Formulas'!$B$42</definedName>
    <definedName name="Log_Likelihood">'OLS_Native_Formulas'!$B$43</definedName>
    <definedName name="Model_AIC">'OLS_Native_Formulas'!$B$44</definedName>
    <definedName name="Model_BIC">'OLS_Native_Formulas'!$B$45</definedName>
    <definedName name="Smearing_Factor">'OLS_Native_Formulas'!$B$46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0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  <color rgb="001F4E78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3" borderId="1" pivotButton="0" quotePrefix="0" xfId="0"/>
    <xf numFmtId="2" fontId="0" fillId="3" borderId="1" pivotButton="0" quotePrefix="0" xfId="0"/>
    <xf numFmtId="10" fontId="0" fillId="3" borderId="1" pivotButton="0" quotePrefix="0" xfId="0"/>
    <xf numFmtId="164" fontId="0" fillId="4" borderId="1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165" fontId="0" fillId="4" borderId="1" pivotButton="0" quotePrefix="0" xfId="0"/>
    <xf numFmtId="165" fontId="0" fillId="0" borderId="1" pivotButton="0" quotePrefix="0" xfId="0"/>
    <xf numFmtId="164" fontId="0" fillId="0" borderId="1" pivotButton="0" quotePrefix="0" xfId="0"/>
    <xf numFmtId="11" fontId="0" fillId="0" borderId="1" pivotButton="0" quotePrefix="0" xfId="0"/>
    <xf numFmtId="165" fontId="0" fillId="5" borderId="1" pivotButton="0" quotePrefix="0" xfId="0"/>
    <xf numFmtId="166" fontId="0" fillId="0" borderId="1" pivotButton="0" quotePrefix="0" xfId="0"/>
    <xf numFmtId="1" fontId="0" fillId="4" borderId="1" pivotButton="0" quotePrefix="0" xfId="0"/>
    <xf numFmtId="1" fontId="0" fillId="5" borderId="1" pivotButton="0" quotePrefix="0" xfId="0"/>
    <xf numFmtId="164" fontId="0" fillId="5" borderId="1" pivotButton="0" quotePrefix="0" xfId="0"/>
    <xf numFmtId="11" fontId="0" fillId="4" borderId="1" pivotButton="0" quotePrefix="0" xfId="0"/>
    <xf numFmtId="11" fontId="0" fillId="5" borderId="1" pivotButton="0" quotePrefix="0" xfId="0"/>
    <xf numFmtId="0" fontId="0" fillId="0" borderId="1" applyAlignment="1" pivotButton="0" quotePrefix="0" xfId="0">
      <alignment horizontal="center"/>
    </xf>
    <xf numFmtId="2" fontId="0" fillId="5" borderId="1" pivotButton="0" quotePrefix="0" xfId="0"/>
    <xf numFmtId="10" fontId="0" fillId="4" borderId="1" pivotButton="0" quotePrefix="0" xfId="0"/>
    <xf numFmtId="1" fontId="0" fillId="3" borderId="1" pivotButton="0" quotePrefix="0" xfId="0"/>
    <xf numFmtId="4" fontId="5" fillId="4" borderId="1" pivotButton="0" quotePrefix="0" xfId="0"/>
    <xf numFmtId="4" fontId="0" fillId="4" borderId="1" pivotButton="0" quotePrefix="0" xfId="0"/>
    <xf numFmtId="3" fontId="0" fillId="0" borderId="1" pivotButton="0" quotePrefix="0" xfId="0"/>
    <xf numFmtId="1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GraduateData" displayName="GraduateData" ref="A1:Q1001" headerRowCount="1">
  <autoFilter ref="A1:Q1001"/>
  <tableColumns count="17">
    <tableColumn id="1" name="graduate_id"/>
    <tableColumn id="2" name="field"/>
    <tableColumn id="3" name="cgpa"/>
    <tableColumn id="4" name="intern_months"/>
    <tableColumn id="5" name="stem"/>
    <tableColumn id="6" name="klang_valley"/>
    <tableColumn id="7" name="salary"/>
    <tableColumn id="8" name="const"/>
    <tableColumn id="9" name="cgpa_c"/>
    <tableColumn id="10" name="x_intern_months"/>
    <tableColumn id="11" name="x_stem"/>
    <tableColumn id="12" name="x_klang_valley"/>
    <tableColumn id="13" name="cgpa_c_x_stem"/>
    <tableColumn id="14" name="ln_salary"/>
    <tableColumn id="15" name="fitted_ln_salary"/>
    <tableColumn id="16" name="residual"/>
    <tableColumn id="17" name="fitted_sala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82" customWidth="1" min="4" max="4"/>
  </cols>
  <sheetData>
    <row r="1">
      <c r="A1" s="1" t="inlineStr">
        <is>
          <t>Parameters</t>
        </is>
      </c>
    </row>
    <row r="2">
      <c r="A2" s="2" t="inlineStr">
        <is>
          <t>Yellow cells are inputs. Every formula in the workbook reads them through the named range in column C.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Named range</t>
        </is>
      </c>
      <c r="D3" s="3" t="inlineStr">
        <is>
          <t>Note</t>
        </is>
      </c>
    </row>
    <row r="4">
      <c r="A4" s="4" t="inlineStr">
        <is>
          <t>Graduate wage floor (RM/month)</t>
        </is>
      </c>
      <c r="B4" s="5" t="n">
        <v>2500</v>
      </c>
      <c r="C4" s="4" t="inlineStr">
        <is>
          <t>Policy_Floor</t>
        </is>
      </c>
      <c r="D4" s="4" t="inlineStr">
        <is>
          <t>Budget 2027: floor for graduates and semi-skilled workers. Start date not announced.</t>
        </is>
      </c>
    </row>
    <row r="5">
      <c r="A5" s="4" t="inlineStr">
        <is>
          <t>New national minimum wage (RM/month)</t>
        </is>
      </c>
      <c r="B5" s="5" t="n">
        <v>2000</v>
      </c>
      <c r="C5" s="4" t="inlineStr">
        <is>
          <t>New_Min_Wage</t>
        </is>
      </c>
      <c r="D5" s="4" t="inlineStr">
        <is>
          <t>Budget 2027: effective June 2027.</t>
        </is>
      </c>
    </row>
    <row r="6">
      <c r="A6" s="4" t="inlineStr">
        <is>
          <t>Minimum wage before the policy (RM/month)</t>
        </is>
      </c>
      <c r="B6" s="5" t="n">
        <v>1700</v>
      </c>
      <c r="C6" s="4" t="inlineStr">
        <is>
          <t>Current_Min_Wage</t>
        </is>
      </c>
      <c r="D6" s="4" t="inlineStr">
        <is>
          <t>In force since February 2025. Anchors the wage compression rule.</t>
        </is>
      </c>
    </row>
    <row r="7">
      <c r="A7" s="4" t="inlineStr">
        <is>
          <t>Wage compression ceiling (RM/month)</t>
        </is>
      </c>
      <c r="B7" s="5" t="n">
        <v>3200</v>
      </c>
      <c r="C7" s="4" t="inlineStr">
        <is>
          <t>Compression_Ceiling</t>
        </is>
      </c>
      <c r="D7" s="4" t="inlineStr">
        <is>
          <t>Assumption: pay at or above this is unaffected by the floor.</t>
        </is>
      </c>
    </row>
    <row r="8">
      <c r="A8" s="4" t="inlineStr">
        <is>
          <t>Wage compression alpha</t>
        </is>
      </c>
      <c r="B8" s="6" t="n">
        <v>0.25</v>
      </c>
      <c r="C8" s="4" t="inlineStr">
        <is>
          <t>Compression_Alpha</t>
        </is>
      </c>
      <c r="D8" s="4" t="inlineStr">
        <is>
          <t>Assumption: share of squeezed pay gaps that employers restore (0 = none, 1 = all).</t>
        </is>
      </c>
    </row>
    <row r="9">
      <c r="A9" s="4" t="inlineStr">
        <is>
          <t>EPF, employer</t>
        </is>
      </c>
      <c r="B9" s="7" t="n">
        <v>0.13</v>
      </c>
      <c r="C9" s="4" t="inlineStr">
        <is>
          <t>EPF_Employer</t>
        </is>
      </c>
      <c r="D9" s="4" t="inlineStr">
        <is>
          <t>Rate for monthly wages of RM5,000 and below.</t>
        </is>
      </c>
    </row>
    <row r="10">
      <c r="A10" s="4" t="inlineStr">
        <is>
          <t>EPF, employee</t>
        </is>
      </c>
      <c r="B10" s="7" t="n">
        <v>0.11</v>
      </c>
      <c r="C10" s="4" t="inlineStr">
        <is>
          <t>EPF_Employee</t>
        </is>
      </c>
      <c r="D10" s="4" t="inlineStr"/>
    </row>
    <row r="11">
      <c r="A11" s="4" t="inlineStr">
        <is>
          <t>SOCSO, employer</t>
        </is>
      </c>
      <c r="B11" s="7" t="n">
        <v>0.0175</v>
      </c>
      <c r="C11" s="4" t="inlineStr">
        <is>
          <t>SOCSO_Employer</t>
        </is>
      </c>
      <c r="D11" s="4" t="inlineStr">
        <is>
          <t>Flat-rate approximation of the contribution table.</t>
        </is>
      </c>
    </row>
    <row r="12">
      <c r="A12" s="4" t="inlineStr">
        <is>
          <t>SOCSO, employee</t>
        </is>
      </c>
      <c r="B12" s="7" t="n">
        <v>0.005</v>
      </c>
      <c r="C12" s="4" t="inlineStr">
        <is>
          <t>SOCSO_Employee</t>
        </is>
      </c>
      <c r="D12" s="4" t="inlineStr">
        <is>
          <t>Flat-rate approximation of the contribution table.</t>
        </is>
      </c>
    </row>
    <row r="13">
      <c r="A13" s="4" t="inlineStr">
        <is>
          <t>EIS, employer</t>
        </is>
      </c>
      <c r="B13" s="7" t="n">
        <v>0.002</v>
      </c>
      <c r="C13" s="4" t="inlineStr">
        <is>
          <t>EIS_Employer</t>
        </is>
      </c>
      <c r="D13" s="4" t="inlineStr"/>
    </row>
    <row r="14">
      <c r="A14" s="4" t="inlineStr">
        <is>
          <t>EIS, employee</t>
        </is>
      </c>
      <c r="B14" s="7" t="n">
        <v>0.002</v>
      </c>
      <c r="C14" s="4" t="inlineStr">
        <is>
          <t>EIS_Employee</t>
        </is>
      </c>
      <c r="D14" s="4" t="inlineStr"/>
    </row>
    <row r="15">
      <c r="A15" s="4" t="inlineStr">
        <is>
          <t>HRD Corp levy, employer</t>
        </is>
      </c>
      <c r="B15" s="7" t="n">
        <v>0.01</v>
      </c>
      <c r="C15" s="4" t="inlineStr">
        <is>
          <t>HRD_Levy</t>
        </is>
      </c>
      <c r="D15" s="4" t="inlineStr">
        <is>
          <t>Applies to employers with 10 or more Malaysian employees.</t>
        </is>
      </c>
    </row>
    <row r="16">
      <c r="A16" s="4" t="inlineStr">
        <is>
          <t>Mean CGPA of the sample (centring constant)</t>
        </is>
      </c>
      <c r="B16" s="8">
        <f>AVERAGE('Data_and_Residuals'!$C$2:$C$1001)</f>
        <v/>
      </c>
      <c r="C16" s="4" t="inlineStr">
        <is>
          <t>CGPA_Mean</t>
        </is>
      </c>
      <c r="D16" s="4" t="inlineStr">
        <is>
          <t>Formula. statsmodels used 3.206530.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3" t="inlineStr">
        <is>
          <t>graduate_id</t>
        </is>
      </c>
      <c r="B1" s="3" t="inlineStr">
        <is>
          <t>field</t>
        </is>
      </c>
      <c r="C1" s="3" t="inlineStr">
        <is>
          <t>cgpa</t>
        </is>
      </c>
      <c r="D1" s="3" t="inlineStr">
        <is>
          <t>intern_months</t>
        </is>
      </c>
      <c r="E1" s="3" t="inlineStr">
        <is>
          <t>stem</t>
        </is>
      </c>
      <c r="F1" s="3" t="inlineStr">
        <is>
          <t>klang_valley</t>
        </is>
      </c>
      <c r="G1" s="3" t="inlineStr">
        <is>
          <t>salary</t>
        </is>
      </c>
      <c r="H1" s="3" t="inlineStr">
        <is>
          <t>const</t>
        </is>
      </c>
      <c r="I1" s="3" t="inlineStr">
        <is>
          <t>cgpa_c</t>
        </is>
      </c>
      <c r="J1" s="3" t="inlineStr">
        <is>
          <t>x_intern_months</t>
        </is>
      </c>
      <c r="K1" s="3" t="inlineStr">
        <is>
          <t>x_stem</t>
        </is>
      </c>
      <c r="L1" s="3" t="inlineStr">
        <is>
          <t>x_klang_valley</t>
        </is>
      </c>
      <c r="M1" s="3" t="inlineStr">
        <is>
          <t>cgpa_c_x_stem</t>
        </is>
      </c>
      <c r="N1" s="3" t="inlineStr">
        <is>
          <t>ln_salary</t>
        </is>
      </c>
      <c r="O1" s="3" t="inlineStr">
        <is>
          <t>fitted_ln_salary</t>
        </is>
      </c>
      <c r="P1" s="3" t="inlineStr">
        <is>
          <t>residual</t>
        </is>
      </c>
      <c r="Q1" s="3" t="inlineStr">
        <is>
          <t>fitted_salary</t>
        </is>
      </c>
    </row>
    <row r="2">
      <c r="A2" t="n">
        <v>1</v>
      </c>
      <c r="B2" t="inlineStr">
        <is>
          <t>Engineering, manufacturing and construction</t>
        </is>
      </c>
      <c r="C2" s="9" t="n">
        <v>3.72</v>
      </c>
      <c r="D2" t="n">
        <v>6</v>
      </c>
      <c r="E2" t="n">
        <v>1</v>
      </c>
      <c r="F2" t="n">
        <v>1</v>
      </c>
      <c r="G2" s="10" t="n">
        <v>4940</v>
      </c>
      <c r="H2" t="n">
        <v>1</v>
      </c>
      <c r="I2" s="11">
        <f>C2-CGPA_Mean</f>
        <v/>
      </c>
      <c r="J2">
        <f>D2</f>
        <v/>
      </c>
      <c r="K2">
        <f>E2</f>
        <v/>
      </c>
      <c r="L2">
        <f>F2</f>
        <v/>
      </c>
      <c r="M2" s="11">
        <f>I2*K2</f>
        <v/>
      </c>
      <c r="N2" s="12">
        <f>LN(G2)</f>
        <v/>
      </c>
      <c r="O2" s="12">
        <f>H2*Beta_0+I2*Beta_1+J2*Beta_2+K2*Beta_3+L2*Beta_4+M2*Beta_5</f>
        <v/>
      </c>
      <c r="P2" s="12">
        <f>N2-O2</f>
        <v/>
      </c>
      <c r="Q2" s="13">
        <f>EXP(O2)*Smearing_Factor</f>
        <v/>
      </c>
    </row>
    <row r="3">
      <c r="A3" t="n">
        <v>2</v>
      </c>
      <c r="B3" t="inlineStr">
        <is>
          <t>Business, administration and law</t>
        </is>
      </c>
      <c r="C3" s="9" t="n">
        <v>3.19</v>
      </c>
      <c r="D3" t="n">
        <v>3</v>
      </c>
      <c r="E3" t="n">
        <v>0</v>
      </c>
      <c r="F3" t="n">
        <v>0</v>
      </c>
      <c r="G3" s="10" t="n">
        <v>1280</v>
      </c>
      <c r="H3" t="n">
        <v>1</v>
      </c>
      <c r="I3" s="11">
        <f>C3-CGPA_Mean</f>
        <v/>
      </c>
      <c r="J3">
        <f>D3</f>
        <v/>
      </c>
      <c r="K3">
        <f>E3</f>
        <v/>
      </c>
      <c r="L3">
        <f>F3</f>
        <v/>
      </c>
      <c r="M3" s="11">
        <f>I3*K3</f>
        <v/>
      </c>
      <c r="N3" s="12">
        <f>LN(G3)</f>
        <v/>
      </c>
      <c r="O3" s="12">
        <f>H3*Beta_0+I3*Beta_1+J3*Beta_2+K3*Beta_3+L3*Beta_4+M3*Beta_5</f>
        <v/>
      </c>
      <c r="P3" s="12">
        <f>N3-O3</f>
        <v/>
      </c>
      <c r="Q3" s="13">
        <f>EXP(O3)*Smearing_Factor</f>
        <v/>
      </c>
    </row>
    <row r="4">
      <c r="A4" t="n">
        <v>3</v>
      </c>
      <c r="B4" t="inlineStr">
        <is>
          <t>Engineering, manufacturing and construction</t>
        </is>
      </c>
      <c r="C4" s="9" t="n">
        <v>3.47</v>
      </c>
      <c r="D4" t="n">
        <v>6</v>
      </c>
      <c r="E4" t="n">
        <v>1</v>
      </c>
      <c r="F4" t="n">
        <v>1</v>
      </c>
      <c r="G4" s="10" t="n">
        <v>14950</v>
      </c>
      <c r="H4" t="n">
        <v>1</v>
      </c>
      <c r="I4" s="11">
        <f>C4-CGPA_Mean</f>
        <v/>
      </c>
      <c r="J4">
        <f>D4</f>
        <v/>
      </c>
      <c r="K4">
        <f>E4</f>
        <v/>
      </c>
      <c r="L4">
        <f>F4</f>
        <v/>
      </c>
      <c r="M4" s="11">
        <f>I4*K4</f>
        <v/>
      </c>
      <c r="N4" s="12">
        <f>LN(G4)</f>
        <v/>
      </c>
      <c r="O4" s="12">
        <f>H4*Beta_0+I4*Beta_1+J4*Beta_2+K4*Beta_3+L4*Beta_4+M4*Beta_5</f>
        <v/>
      </c>
      <c r="P4" s="12">
        <f>N4-O4</f>
        <v/>
      </c>
      <c r="Q4" s="13">
        <f>EXP(O4)*Smearing_Factor</f>
        <v/>
      </c>
    </row>
    <row r="5">
      <c r="A5" t="n">
        <v>4</v>
      </c>
      <c r="B5" t="inlineStr">
        <is>
          <t>Information and communication technologies</t>
        </is>
      </c>
      <c r="C5" s="9" t="n">
        <v>3.38</v>
      </c>
      <c r="D5" t="n">
        <v>3</v>
      </c>
      <c r="E5" t="n">
        <v>1</v>
      </c>
      <c r="F5" t="n">
        <v>0</v>
      </c>
      <c r="G5" s="10" t="n">
        <v>3430</v>
      </c>
      <c r="H5" t="n">
        <v>1</v>
      </c>
      <c r="I5" s="11">
        <f>C5-CGPA_Mean</f>
        <v/>
      </c>
      <c r="J5">
        <f>D5</f>
        <v/>
      </c>
      <c r="K5">
        <f>E5</f>
        <v/>
      </c>
      <c r="L5">
        <f>F5</f>
        <v/>
      </c>
      <c r="M5" s="11">
        <f>I5*K5</f>
        <v/>
      </c>
      <c r="N5" s="12">
        <f>LN(G5)</f>
        <v/>
      </c>
      <c r="O5" s="12">
        <f>H5*Beta_0+I5*Beta_1+J5*Beta_2+K5*Beta_3+L5*Beta_4+M5*Beta_5</f>
        <v/>
      </c>
      <c r="P5" s="12">
        <f>N5-O5</f>
        <v/>
      </c>
      <c r="Q5" s="13">
        <f>EXP(O5)*Smearing_Factor</f>
        <v/>
      </c>
    </row>
    <row r="6">
      <c r="A6" t="n">
        <v>5</v>
      </c>
      <c r="B6" t="inlineStr">
        <is>
          <t>Engineering, manufacturing and construction</t>
        </is>
      </c>
      <c r="C6" s="9" t="n">
        <v>3.15</v>
      </c>
      <c r="D6" t="n">
        <v>3</v>
      </c>
      <c r="E6" t="n">
        <v>1</v>
      </c>
      <c r="F6" t="n">
        <v>0</v>
      </c>
      <c r="G6" s="10" t="n">
        <v>1550</v>
      </c>
      <c r="H6" t="n">
        <v>1</v>
      </c>
      <c r="I6" s="11">
        <f>C6-CGPA_Mean</f>
        <v/>
      </c>
      <c r="J6">
        <f>D6</f>
        <v/>
      </c>
      <c r="K6">
        <f>E6</f>
        <v/>
      </c>
      <c r="L6">
        <f>F6</f>
        <v/>
      </c>
      <c r="M6" s="11">
        <f>I6*K6</f>
        <v/>
      </c>
      <c r="N6" s="12">
        <f>LN(G6)</f>
        <v/>
      </c>
      <c r="O6" s="12">
        <f>H6*Beta_0+I6*Beta_1+J6*Beta_2+K6*Beta_3+L6*Beta_4+M6*Beta_5</f>
        <v/>
      </c>
      <c r="P6" s="12">
        <f>N6-O6</f>
        <v/>
      </c>
      <c r="Q6" s="13">
        <f>EXP(O6)*Smearing_Factor</f>
        <v/>
      </c>
    </row>
    <row r="7">
      <c r="A7" t="n">
        <v>6</v>
      </c>
      <c r="B7" t="inlineStr">
        <is>
          <t>Business, administration and law</t>
        </is>
      </c>
      <c r="C7" s="9" t="n">
        <v>2.86</v>
      </c>
      <c r="D7" t="n">
        <v>3</v>
      </c>
      <c r="E7" t="n">
        <v>0</v>
      </c>
      <c r="F7" t="n">
        <v>1</v>
      </c>
      <c r="G7" s="10" t="n">
        <v>2440</v>
      </c>
      <c r="H7" t="n">
        <v>1</v>
      </c>
      <c r="I7" s="11">
        <f>C7-CGPA_Mean</f>
        <v/>
      </c>
      <c r="J7">
        <f>D7</f>
        <v/>
      </c>
      <c r="K7">
        <f>E7</f>
        <v/>
      </c>
      <c r="L7">
        <f>F7</f>
        <v/>
      </c>
      <c r="M7" s="11">
        <f>I7*K7</f>
        <v/>
      </c>
      <c r="N7" s="12">
        <f>LN(G7)</f>
        <v/>
      </c>
      <c r="O7" s="12">
        <f>H7*Beta_0+I7*Beta_1+J7*Beta_2+K7*Beta_3+L7*Beta_4+M7*Beta_5</f>
        <v/>
      </c>
      <c r="P7" s="12">
        <f>N7-O7</f>
        <v/>
      </c>
      <c r="Q7" s="13">
        <f>EXP(O7)*Smearing_Factor</f>
        <v/>
      </c>
    </row>
    <row r="8">
      <c r="A8" t="n">
        <v>7</v>
      </c>
      <c r="B8" t="inlineStr">
        <is>
          <t>Engineering, manufacturing and construction</t>
        </is>
      </c>
      <c r="C8" s="9" t="n">
        <v>3.38</v>
      </c>
      <c r="D8" t="n">
        <v>9</v>
      </c>
      <c r="E8" t="n">
        <v>1</v>
      </c>
      <c r="F8" t="n">
        <v>1</v>
      </c>
      <c r="G8" s="10" t="n">
        <v>3730</v>
      </c>
      <c r="H8" t="n">
        <v>1</v>
      </c>
      <c r="I8" s="11">
        <f>C8-CGPA_Mean</f>
        <v/>
      </c>
      <c r="J8">
        <f>D8</f>
        <v/>
      </c>
      <c r="K8">
        <f>E8</f>
        <v/>
      </c>
      <c r="L8">
        <f>F8</f>
        <v/>
      </c>
      <c r="M8" s="11">
        <f>I8*K8</f>
        <v/>
      </c>
      <c r="N8" s="12">
        <f>LN(G8)</f>
        <v/>
      </c>
      <c r="O8" s="12">
        <f>H8*Beta_0+I8*Beta_1+J8*Beta_2+K8*Beta_3+L8*Beta_4+M8*Beta_5</f>
        <v/>
      </c>
      <c r="P8" s="12">
        <f>N8-O8</f>
        <v/>
      </c>
      <c r="Q8" s="13">
        <f>EXP(O8)*Smearing_Factor</f>
        <v/>
      </c>
    </row>
    <row r="9">
      <c r="A9" t="n">
        <v>8</v>
      </c>
      <c r="B9" t="inlineStr">
        <is>
          <t>Arts and humanities</t>
        </is>
      </c>
      <c r="C9" s="9" t="n">
        <v>3.32</v>
      </c>
      <c r="D9" t="n">
        <v>6</v>
      </c>
      <c r="E9" t="n">
        <v>0</v>
      </c>
      <c r="F9" t="n">
        <v>1</v>
      </c>
      <c r="G9" s="10" t="n">
        <v>3240</v>
      </c>
      <c r="H9" t="n">
        <v>1</v>
      </c>
      <c r="I9" s="11">
        <f>C9-CGPA_Mean</f>
        <v/>
      </c>
      <c r="J9">
        <f>D9</f>
        <v/>
      </c>
      <c r="K9">
        <f>E9</f>
        <v/>
      </c>
      <c r="L9">
        <f>F9</f>
        <v/>
      </c>
      <c r="M9" s="11">
        <f>I9*K9</f>
        <v/>
      </c>
      <c r="N9" s="12">
        <f>LN(G9)</f>
        <v/>
      </c>
      <c r="O9" s="12">
        <f>H9*Beta_0+I9*Beta_1+J9*Beta_2+K9*Beta_3+L9*Beta_4+M9*Beta_5</f>
        <v/>
      </c>
      <c r="P9" s="12">
        <f>N9-O9</f>
        <v/>
      </c>
      <c r="Q9" s="13">
        <f>EXP(O9)*Smearing_Factor</f>
        <v/>
      </c>
    </row>
    <row r="10">
      <c r="A10" t="n">
        <v>9</v>
      </c>
      <c r="B10" t="inlineStr">
        <is>
          <t>Business, administration and law</t>
        </is>
      </c>
      <c r="C10" s="9" t="n">
        <v>2.77</v>
      </c>
      <c r="D10" t="n">
        <v>9</v>
      </c>
      <c r="E10" t="n">
        <v>0</v>
      </c>
      <c r="F10" t="n">
        <v>1</v>
      </c>
      <c r="G10" s="10" t="n">
        <v>2940</v>
      </c>
      <c r="H10" t="n">
        <v>1</v>
      </c>
      <c r="I10" s="11">
        <f>C10-CGPA_Mean</f>
        <v/>
      </c>
      <c r="J10">
        <f>D10</f>
        <v/>
      </c>
      <c r="K10">
        <f>E10</f>
        <v/>
      </c>
      <c r="L10">
        <f>F10</f>
        <v/>
      </c>
      <c r="M10" s="11">
        <f>I10*K10</f>
        <v/>
      </c>
      <c r="N10" s="12">
        <f>LN(G10)</f>
        <v/>
      </c>
      <c r="O10" s="12">
        <f>H10*Beta_0+I10*Beta_1+J10*Beta_2+K10*Beta_3+L10*Beta_4+M10*Beta_5</f>
        <v/>
      </c>
      <c r="P10" s="12">
        <f>N10-O10</f>
        <v/>
      </c>
      <c r="Q10" s="13">
        <f>EXP(O10)*Smearing_Factor</f>
        <v/>
      </c>
    </row>
    <row r="11">
      <c r="A11" t="n">
        <v>10</v>
      </c>
      <c r="B11" t="inlineStr">
        <is>
          <t>Engineering, manufacturing and construction</t>
        </is>
      </c>
      <c r="C11" s="9" t="n">
        <v>3.45</v>
      </c>
      <c r="D11" t="n">
        <v>6</v>
      </c>
      <c r="E11" t="n">
        <v>1</v>
      </c>
      <c r="F11" t="n">
        <v>1</v>
      </c>
      <c r="G11" s="10" t="n">
        <v>2860</v>
      </c>
      <c r="H11" t="n">
        <v>1</v>
      </c>
      <c r="I11" s="11">
        <f>C11-CGPA_Mean</f>
        <v/>
      </c>
      <c r="J11">
        <f>D11</f>
        <v/>
      </c>
      <c r="K11">
        <f>E11</f>
        <v/>
      </c>
      <c r="L11">
        <f>F11</f>
        <v/>
      </c>
      <c r="M11" s="11">
        <f>I11*K11</f>
        <v/>
      </c>
      <c r="N11" s="12">
        <f>LN(G11)</f>
        <v/>
      </c>
      <c r="O11" s="12">
        <f>H11*Beta_0+I11*Beta_1+J11*Beta_2+K11*Beta_3+L11*Beta_4+M11*Beta_5</f>
        <v/>
      </c>
      <c r="P11" s="12">
        <f>N11-O11</f>
        <v/>
      </c>
      <c r="Q11" s="13">
        <f>EXP(O11)*Smearing_Factor</f>
        <v/>
      </c>
    </row>
    <row r="12">
      <c r="A12" t="n">
        <v>11</v>
      </c>
      <c r="B12" t="inlineStr">
        <is>
          <t>Engineering, manufacturing and construction</t>
        </is>
      </c>
      <c r="C12" s="9" t="n">
        <v>2.8</v>
      </c>
      <c r="D12" t="n">
        <v>6</v>
      </c>
      <c r="E12" t="n">
        <v>1</v>
      </c>
      <c r="F12" t="n">
        <v>0</v>
      </c>
      <c r="G12" s="10" t="n">
        <v>9310</v>
      </c>
      <c r="H12" t="n">
        <v>1</v>
      </c>
      <c r="I12" s="11">
        <f>C12-CGPA_Mean</f>
        <v/>
      </c>
      <c r="J12">
        <f>D12</f>
        <v/>
      </c>
      <c r="K12">
        <f>E12</f>
        <v/>
      </c>
      <c r="L12">
        <f>F12</f>
        <v/>
      </c>
      <c r="M12" s="11">
        <f>I12*K12</f>
        <v/>
      </c>
      <c r="N12" s="12">
        <f>LN(G12)</f>
        <v/>
      </c>
      <c r="O12" s="12">
        <f>H12*Beta_0+I12*Beta_1+J12*Beta_2+K12*Beta_3+L12*Beta_4+M12*Beta_5</f>
        <v/>
      </c>
      <c r="P12" s="12">
        <f>N12-O12</f>
        <v/>
      </c>
      <c r="Q12" s="13">
        <f>EXP(O12)*Smearing_Factor</f>
        <v/>
      </c>
    </row>
    <row r="13">
      <c r="A13" t="n">
        <v>12</v>
      </c>
      <c r="B13" t="inlineStr">
        <is>
          <t>Business, administration and law</t>
        </is>
      </c>
      <c r="C13" s="9" t="n">
        <v>2.98</v>
      </c>
      <c r="D13" t="n">
        <v>6</v>
      </c>
      <c r="E13" t="n">
        <v>0</v>
      </c>
      <c r="F13" t="n">
        <v>0</v>
      </c>
      <c r="G13" s="10" t="n">
        <v>1770</v>
      </c>
      <c r="H13" t="n">
        <v>1</v>
      </c>
      <c r="I13" s="11">
        <f>C13-CGPA_Mean</f>
        <v/>
      </c>
      <c r="J13">
        <f>D13</f>
        <v/>
      </c>
      <c r="K13">
        <f>E13</f>
        <v/>
      </c>
      <c r="L13">
        <f>F13</f>
        <v/>
      </c>
      <c r="M13" s="11">
        <f>I13*K13</f>
        <v/>
      </c>
      <c r="N13" s="12">
        <f>LN(G13)</f>
        <v/>
      </c>
      <c r="O13" s="12">
        <f>H13*Beta_0+I13*Beta_1+J13*Beta_2+K13*Beta_3+L13*Beta_4+M13*Beta_5</f>
        <v/>
      </c>
      <c r="P13" s="12">
        <f>N13-O13</f>
        <v/>
      </c>
      <c r="Q13" s="13">
        <f>EXP(O13)*Smearing_Factor</f>
        <v/>
      </c>
    </row>
    <row r="14">
      <c r="A14" t="n">
        <v>13</v>
      </c>
      <c r="B14" t="inlineStr">
        <is>
          <t>Engineering, manufacturing and construction</t>
        </is>
      </c>
      <c r="C14" s="9" t="n">
        <v>2.69</v>
      </c>
      <c r="D14" t="n">
        <v>9</v>
      </c>
      <c r="E14" t="n">
        <v>1</v>
      </c>
      <c r="F14" t="n">
        <v>0</v>
      </c>
      <c r="G14" s="10" t="n">
        <v>2400</v>
      </c>
      <c r="H14" t="n">
        <v>1</v>
      </c>
      <c r="I14" s="11">
        <f>C14-CGPA_Mean</f>
        <v/>
      </c>
      <c r="J14">
        <f>D14</f>
        <v/>
      </c>
      <c r="K14">
        <f>E14</f>
        <v/>
      </c>
      <c r="L14">
        <f>F14</f>
        <v/>
      </c>
      <c r="M14" s="11">
        <f>I14*K14</f>
        <v/>
      </c>
      <c r="N14" s="12">
        <f>LN(G14)</f>
        <v/>
      </c>
      <c r="O14" s="12">
        <f>H14*Beta_0+I14*Beta_1+J14*Beta_2+K14*Beta_3+L14*Beta_4+M14*Beta_5</f>
        <v/>
      </c>
      <c r="P14" s="12">
        <f>N14-O14</f>
        <v/>
      </c>
      <c r="Q14" s="13">
        <f>EXP(O14)*Smearing_Factor</f>
        <v/>
      </c>
    </row>
    <row r="15">
      <c r="A15" t="n">
        <v>14</v>
      </c>
      <c r="B15" t="inlineStr">
        <is>
          <t>Natural sciences, mathematics and statistics</t>
        </is>
      </c>
      <c r="C15" s="9" t="n">
        <v>3.67</v>
      </c>
      <c r="D15" t="n">
        <v>3</v>
      </c>
      <c r="E15" t="n">
        <v>1</v>
      </c>
      <c r="F15" t="n">
        <v>0</v>
      </c>
      <c r="G15" s="10" t="n">
        <v>1070</v>
      </c>
      <c r="H15" t="n">
        <v>1</v>
      </c>
      <c r="I15" s="11">
        <f>C15-CGPA_Mean</f>
        <v/>
      </c>
      <c r="J15">
        <f>D15</f>
        <v/>
      </c>
      <c r="K15">
        <f>E15</f>
        <v/>
      </c>
      <c r="L15">
        <f>F15</f>
        <v/>
      </c>
      <c r="M15" s="11">
        <f>I15*K15</f>
        <v/>
      </c>
      <c r="N15" s="12">
        <f>LN(G15)</f>
        <v/>
      </c>
      <c r="O15" s="12">
        <f>H15*Beta_0+I15*Beta_1+J15*Beta_2+K15*Beta_3+L15*Beta_4+M15*Beta_5</f>
        <v/>
      </c>
      <c r="P15" s="12">
        <f>N15-O15</f>
        <v/>
      </c>
      <c r="Q15" s="13">
        <f>EXP(O15)*Smearing_Factor</f>
        <v/>
      </c>
    </row>
    <row r="16">
      <c r="A16" t="n">
        <v>15</v>
      </c>
      <c r="B16" t="inlineStr">
        <is>
          <t>Business, administration and law</t>
        </is>
      </c>
      <c r="C16" s="9" t="n">
        <v>3.08</v>
      </c>
      <c r="D16" t="n">
        <v>6</v>
      </c>
      <c r="E16" t="n">
        <v>0</v>
      </c>
      <c r="F16" t="n">
        <v>1</v>
      </c>
      <c r="G16" s="10" t="n">
        <v>3220</v>
      </c>
      <c r="H16" t="n">
        <v>1</v>
      </c>
      <c r="I16" s="11">
        <f>C16-CGPA_Mean</f>
        <v/>
      </c>
      <c r="J16">
        <f>D16</f>
        <v/>
      </c>
      <c r="K16">
        <f>E16</f>
        <v/>
      </c>
      <c r="L16">
        <f>F16</f>
        <v/>
      </c>
      <c r="M16" s="11">
        <f>I16*K16</f>
        <v/>
      </c>
      <c r="N16" s="12">
        <f>LN(G16)</f>
        <v/>
      </c>
      <c r="O16" s="12">
        <f>H16*Beta_0+I16*Beta_1+J16*Beta_2+K16*Beta_3+L16*Beta_4+M16*Beta_5</f>
        <v/>
      </c>
      <c r="P16" s="12">
        <f>N16-O16</f>
        <v/>
      </c>
      <c r="Q16" s="13">
        <f>EXP(O16)*Smearing_Factor</f>
        <v/>
      </c>
    </row>
    <row r="17">
      <c r="A17" t="n">
        <v>16</v>
      </c>
      <c r="B17" t="inlineStr">
        <is>
          <t>Engineering, manufacturing and construction</t>
        </is>
      </c>
      <c r="C17" s="9" t="n">
        <v>3.42</v>
      </c>
      <c r="D17" t="n">
        <v>6</v>
      </c>
      <c r="E17" t="n">
        <v>1</v>
      </c>
      <c r="F17" t="n">
        <v>0</v>
      </c>
      <c r="G17" s="10" t="n">
        <v>1830</v>
      </c>
      <c r="H17" t="n">
        <v>1</v>
      </c>
      <c r="I17" s="11">
        <f>C17-CGPA_Mean</f>
        <v/>
      </c>
      <c r="J17">
        <f>D17</f>
        <v/>
      </c>
      <c r="K17">
        <f>E17</f>
        <v/>
      </c>
      <c r="L17">
        <f>F17</f>
        <v/>
      </c>
      <c r="M17" s="11">
        <f>I17*K17</f>
        <v/>
      </c>
      <c r="N17" s="12">
        <f>LN(G17)</f>
        <v/>
      </c>
      <c r="O17" s="12">
        <f>H17*Beta_0+I17*Beta_1+J17*Beta_2+K17*Beta_3+L17*Beta_4+M17*Beta_5</f>
        <v/>
      </c>
      <c r="P17" s="12">
        <f>N17-O17</f>
        <v/>
      </c>
      <c r="Q17" s="13">
        <f>EXP(O17)*Smearing_Factor</f>
        <v/>
      </c>
    </row>
    <row r="18">
      <c r="A18" t="n">
        <v>17</v>
      </c>
      <c r="B18" t="inlineStr">
        <is>
          <t>Education</t>
        </is>
      </c>
      <c r="C18" s="9" t="n">
        <v>3.99</v>
      </c>
      <c r="D18" t="n">
        <v>6</v>
      </c>
      <c r="E18" t="n">
        <v>0</v>
      </c>
      <c r="F18" t="n">
        <v>1</v>
      </c>
      <c r="G18" s="10" t="n">
        <v>3780</v>
      </c>
      <c r="H18" t="n">
        <v>1</v>
      </c>
      <c r="I18" s="11">
        <f>C18-CGPA_Mean</f>
        <v/>
      </c>
      <c r="J18">
        <f>D18</f>
        <v/>
      </c>
      <c r="K18">
        <f>E18</f>
        <v/>
      </c>
      <c r="L18">
        <f>F18</f>
        <v/>
      </c>
      <c r="M18" s="11">
        <f>I18*K18</f>
        <v/>
      </c>
      <c r="N18" s="12">
        <f>LN(G18)</f>
        <v/>
      </c>
      <c r="O18" s="12">
        <f>H18*Beta_0+I18*Beta_1+J18*Beta_2+K18*Beta_3+L18*Beta_4+M18*Beta_5</f>
        <v/>
      </c>
      <c r="P18" s="12">
        <f>N18-O18</f>
        <v/>
      </c>
      <c r="Q18" s="13">
        <f>EXP(O18)*Smearing_Factor</f>
        <v/>
      </c>
    </row>
    <row r="19">
      <c r="A19" t="n">
        <v>18</v>
      </c>
      <c r="B19" t="inlineStr">
        <is>
          <t>Business, administration and law</t>
        </is>
      </c>
      <c r="C19" s="9" t="n">
        <v>2.6</v>
      </c>
      <c r="D19" t="n">
        <v>3</v>
      </c>
      <c r="E19" t="n">
        <v>0</v>
      </c>
      <c r="F19" t="n">
        <v>1</v>
      </c>
      <c r="G19" s="10" t="n">
        <v>910</v>
      </c>
      <c r="H19" t="n">
        <v>1</v>
      </c>
      <c r="I19" s="11">
        <f>C19-CGPA_Mean</f>
        <v/>
      </c>
      <c r="J19">
        <f>D19</f>
        <v/>
      </c>
      <c r="K19">
        <f>E19</f>
        <v/>
      </c>
      <c r="L19">
        <f>F19</f>
        <v/>
      </c>
      <c r="M19" s="11">
        <f>I19*K19</f>
        <v/>
      </c>
      <c r="N19" s="12">
        <f>LN(G19)</f>
        <v/>
      </c>
      <c r="O19" s="12">
        <f>H19*Beta_0+I19*Beta_1+J19*Beta_2+K19*Beta_3+L19*Beta_4+M19*Beta_5</f>
        <v/>
      </c>
      <c r="P19" s="12">
        <f>N19-O19</f>
        <v/>
      </c>
      <c r="Q19" s="13">
        <f>EXP(O19)*Smearing_Factor</f>
        <v/>
      </c>
    </row>
    <row r="20">
      <c r="A20" t="n">
        <v>19</v>
      </c>
      <c r="B20" t="inlineStr">
        <is>
          <t>Business, administration and law</t>
        </is>
      </c>
      <c r="C20" s="9" t="n">
        <v>2.78</v>
      </c>
      <c r="D20" t="n">
        <v>6</v>
      </c>
      <c r="E20" t="n">
        <v>0</v>
      </c>
      <c r="F20" t="n">
        <v>0</v>
      </c>
      <c r="G20" s="10" t="n">
        <v>2310</v>
      </c>
      <c r="H20" t="n">
        <v>1</v>
      </c>
      <c r="I20" s="11">
        <f>C20-CGPA_Mean</f>
        <v/>
      </c>
      <c r="J20">
        <f>D20</f>
        <v/>
      </c>
      <c r="K20">
        <f>E20</f>
        <v/>
      </c>
      <c r="L20">
        <f>F20</f>
        <v/>
      </c>
      <c r="M20" s="11">
        <f>I20*K20</f>
        <v/>
      </c>
      <c r="N20" s="12">
        <f>LN(G20)</f>
        <v/>
      </c>
      <c r="O20" s="12">
        <f>H20*Beta_0+I20*Beta_1+J20*Beta_2+K20*Beta_3+L20*Beta_4+M20*Beta_5</f>
        <v/>
      </c>
      <c r="P20" s="12">
        <f>N20-O20</f>
        <v/>
      </c>
      <c r="Q20" s="13">
        <f>EXP(O20)*Smearing_Factor</f>
        <v/>
      </c>
    </row>
    <row r="21">
      <c r="A21" t="n">
        <v>20</v>
      </c>
      <c r="B21" t="inlineStr">
        <is>
          <t>Business, administration and law</t>
        </is>
      </c>
      <c r="C21" s="9" t="n">
        <v>3.63</v>
      </c>
      <c r="D21" t="n">
        <v>9</v>
      </c>
      <c r="E21" t="n">
        <v>0</v>
      </c>
      <c r="F21" t="n">
        <v>0</v>
      </c>
      <c r="G21" s="10" t="n">
        <v>2110</v>
      </c>
      <c r="H21" t="n">
        <v>1</v>
      </c>
      <c r="I21" s="11">
        <f>C21-CGPA_Mean</f>
        <v/>
      </c>
      <c r="J21">
        <f>D21</f>
        <v/>
      </c>
      <c r="K21">
        <f>E21</f>
        <v/>
      </c>
      <c r="L21">
        <f>F21</f>
        <v/>
      </c>
      <c r="M21" s="11">
        <f>I21*K21</f>
        <v/>
      </c>
      <c r="N21" s="12">
        <f>LN(G21)</f>
        <v/>
      </c>
      <c r="O21" s="12">
        <f>H21*Beta_0+I21*Beta_1+J21*Beta_2+K21*Beta_3+L21*Beta_4+M21*Beta_5</f>
        <v/>
      </c>
      <c r="P21" s="12">
        <f>N21-O21</f>
        <v/>
      </c>
      <c r="Q21" s="13">
        <f>EXP(O21)*Smearing_Factor</f>
        <v/>
      </c>
    </row>
    <row r="22">
      <c r="A22" t="n">
        <v>21</v>
      </c>
      <c r="B22" t="inlineStr">
        <is>
          <t>Business, administration and law</t>
        </is>
      </c>
      <c r="C22" s="9" t="n">
        <v>2.96</v>
      </c>
      <c r="D22" t="n">
        <v>3</v>
      </c>
      <c r="E22" t="n">
        <v>0</v>
      </c>
      <c r="F22" t="n">
        <v>0</v>
      </c>
      <c r="G22" s="10" t="n">
        <v>2910</v>
      </c>
      <c r="H22" t="n">
        <v>1</v>
      </c>
      <c r="I22" s="11">
        <f>C22-CGPA_Mean</f>
        <v/>
      </c>
      <c r="J22">
        <f>D22</f>
        <v/>
      </c>
      <c r="K22">
        <f>E22</f>
        <v/>
      </c>
      <c r="L22">
        <f>F22</f>
        <v/>
      </c>
      <c r="M22" s="11">
        <f>I22*K22</f>
        <v/>
      </c>
      <c r="N22" s="12">
        <f>LN(G22)</f>
        <v/>
      </c>
      <c r="O22" s="12">
        <f>H22*Beta_0+I22*Beta_1+J22*Beta_2+K22*Beta_3+L22*Beta_4+M22*Beta_5</f>
        <v/>
      </c>
      <c r="P22" s="12">
        <f>N22-O22</f>
        <v/>
      </c>
      <c r="Q22" s="13">
        <f>EXP(O22)*Smearing_Factor</f>
        <v/>
      </c>
    </row>
    <row r="23">
      <c r="A23" t="n">
        <v>22</v>
      </c>
      <c r="B23" t="inlineStr">
        <is>
          <t>Business, administration and law</t>
        </is>
      </c>
      <c r="C23" s="9" t="n">
        <v>2.8</v>
      </c>
      <c r="D23" t="n">
        <v>6</v>
      </c>
      <c r="E23" t="n">
        <v>0</v>
      </c>
      <c r="F23" t="n">
        <v>0</v>
      </c>
      <c r="G23" s="10" t="n">
        <v>2920</v>
      </c>
      <c r="H23" t="n">
        <v>1</v>
      </c>
      <c r="I23" s="11">
        <f>C23-CGPA_Mean</f>
        <v/>
      </c>
      <c r="J23">
        <f>D23</f>
        <v/>
      </c>
      <c r="K23">
        <f>E23</f>
        <v/>
      </c>
      <c r="L23">
        <f>F23</f>
        <v/>
      </c>
      <c r="M23" s="11">
        <f>I23*K23</f>
        <v/>
      </c>
      <c r="N23" s="12">
        <f>LN(G23)</f>
        <v/>
      </c>
      <c r="O23" s="12">
        <f>H23*Beta_0+I23*Beta_1+J23*Beta_2+K23*Beta_3+L23*Beta_4+M23*Beta_5</f>
        <v/>
      </c>
      <c r="P23" s="12">
        <f>N23-O23</f>
        <v/>
      </c>
      <c r="Q23" s="13">
        <f>EXP(O23)*Smearing_Factor</f>
        <v/>
      </c>
    </row>
    <row r="24">
      <c r="A24" t="n">
        <v>23</v>
      </c>
      <c r="B24" t="inlineStr">
        <is>
          <t>Arts and humanities</t>
        </is>
      </c>
      <c r="C24" s="9" t="n">
        <v>2.99</v>
      </c>
      <c r="D24" t="n">
        <v>6</v>
      </c>
      <c r="E24" t="n">
        <v>0</v>
      </c>
      <c r="F24" t="n">
        <v>0</v>
      </c>
      <c r="G24" s="10" t="n">
        <v>750</v>
      </c>
      <c r="H24" t="n">
        <v>1</v>
      </c>
      <c r="I24" s="11">
        <f>C24-CGPA_Mean</f>
        <v/>
      </c>
      <c r="J24">
        <f>D24</f>
        <v/>
      </c>
      <c r="K24">
        <f>E24</f>
        <v/>
      </c>
      <c r="L24">
        <f>F24</f>
        <v/>
      </c>
      <c r="M24" s="11">
        <f>I24*K24</f>
        <v/>
      </c>
      <c r="N24" s="12">
        <f>LN(G24)</f>
        <v/>
      </c>
      <c r="O24" s="12">
        <f>H24*Beta_0+I24*Beta_1+J24*Beta_2+K24*Beta_3+L24*Beta_4+M24*Beta_5</f>
        <v/>
      </c>
      <c r="P24" s="12">
        <f>N24-O24</f>
        <v/>
      </c>
      <c r="Q24" s="13">
        <f>EXP(O24)*Smearing_Factor</f>
        <v/>
      </c>
    </row>
    <row r="25">
      <c r="A25" t="n">
        <v>24</v>
      </c>
      <c r="B25" t="inlineStr">
        <is>
          <t>Business, administration and law</t>
        </is>
      </c>
      <c r="C25" s="9" t="n">
        <v>2.86</v>
      </c>
      <c r="D25" t="n">
        <v>9</v>
      </c>
      <c r="E25" t="n">
        <v>0</v>
      </c>
      <c r="F25" t="n">
        <v>0</v>
      </c>
      <c r="G25" s="10" t="n">
        <v>2890</v>
      </c>
      <c r="H25" t="n">
        <v>1</v>
      </c>
      <c r="I25" s="11">
        <f>C25-CGPA_Mean</f>
        <v/>
      </c>
      <c r="J25">
        <f>D25</f>
        <v/>
      </c>
      <c r="K25">
        <f>E25</f>
        <v/>
      </c>
      <c r="L25">
        <f>F25</f>
        <v/>
      </c>
      <c r="M25" s="11">
        <f>I25*K25</f>
        <v/>
      </c>
      <c r="N25" s="12">
        <f>LN(G25)</f>
        <v/>
      </c>
      <c r="O25" s="12">
        <f>H25*Beta_0+I25*Beta_1+J25*Beta_2+K25*Beta_3+L25*Beta_4+M25*Beta_5</f>
        <v/>
      </c>
      <c r="P25" s="12">
        <f>N25-O25</f>
        <v/>
      </c>
      <c r="Q25" s="13">
        <f>EXP(O25)*Smearing_Factor</f>
        <v/>
      </c>
    </row>
    <row r="26">
      <c r="A26" t="n">
        <v>25</v>
      </c>
      <c r="B26" t="inlineStr">
        <is>
          <t>Business, administration and law</t>
        </is>
      </c>
      <c r="C26" s="9" t="n">
        <v>3.4</v>
      </c>
      <c r="D26" t="n">
        <v>9</v>
      </c>
      <c r="E26" t="n">
        <v>0</v>
      </c>
      <c r="F26" t="n">
        <v>1</v>
      </c>
      <c r="G26" s="10" t="n">
        <v>2160</v>
      </c>
      <c r="H26" t="n">
        <v>1</v>
      </c>
      <c r="I26" s="11">
        <f>C26-CGPA_Mean</f>
        <v/>
      </c>
      <c r="J26">
        <f>D26</f>
        <v/>
      </c>
      <c r="K26">
        <f>E26</f>
        <v/>
      </c>
      <c r="L26">
        <f>F26</f>
        <v/>
      </c>
      <c r="M26" s="11">
        <f>I26*K26</f>
        <v/>
      </c>
      <c r="N26" s="12">
        <f>LN(G26)</f>
        <v/>
      </c>
      <c r="O26" s="12">
        <f>H26*Beta_0+I26*Beta_1+J26*Beta_2+K26*Beta_3+L26*Beta_4+M26*Beta_5</f>
        <v/>
      </c>
      <c r="P26" s="12">
        <f>N26-O26</f>
        <v/>
      </c>
      <c r="Q26" s="13">
        <f>EXP(O26)*Smearing_Factor</f>
        <v/>
      </c>
    </row>
    <row r="27">
      <c r="A27" t="n">
        <v>26</v>
      </c>
      <c r="B27" t="inlineStr">
        <is>
          <t>Business, administration and law</t>
        </is>
      </c>
      <c r="C27" s="9" t="n">
        <v>3.33</v>
      </c>
      <c r="D27" t="n">
        <v>3</v>
      </c>
      <c r="E27" t="n">
        <v>0</v>
      </c>
      <c r="F27" t="n">
        <v>1</v>
      </c>
      <c r="G27" s="10" t="n">
        <v>2790</v>
      </c>
      <c r="H27" t="n">
        <v>1</v>
      </c>
      <c r="I27" s="11">
        <f>C27-CGPA_Mean</f>
        <v/>
      </c>
      <c r="J27">
        <f>D27</f>
        <v/>
      </c>
      <c r="K27">
        <f>E27</f>
        <v/>
      </c>
      <c r="L27">
        <f>F27</f>
        <v/>
      </c>
      <c r="M27" s="11">
        <f>I27*K27</f>
        <v/>
      </c>
      <c r="N27" s="12">
        <f>LN(G27)</f>
        <v/>
      </c>
      <c r="O27" s="12">
        <f>H27*Beta_0+I27*Beta_1+J27*Beta_2+K27*Beta_3+L27*Beta_4+M27*Beta_5</f>
        <v/>
      </c>
      <c r="P27" s="12">
        <f>N27-O27</f>
        <v/>
      </c>
      <c r="Q27" s="13">
        <f>EXP(O27)*Smearing_Factor</f>
        <v/>
      </c>
    </row>
    <row r="28">
      <c r="A28" t="n">
        <v>27</v>
      </c>
      <c r="B28" t="inlineStr">
        <is>
          <t>Engineering, manufacturing and construction</t>
        </is>
      </c>
      <c r="C28" s="9" t="n">
        <v>2.73</v>
      </c>
      <c r="D28" t="n">
        <v>6</v>
      </c>
      <c r="E28" t="n">
        <v>1</v>
      </c>
      <c r="F28" t="n">
        <v>0</v>
      </c>
      <c r="G28" s="10" t="n">
        <v>1910</v>
      </c>
      <c r="H28" t="n">
        <v>1</v>
      </c>
      <c r="I28" s="11">
        <f>C28-CGPA_Mean</f>
        <v/>
      </c>
      <c r="J28">
        <f>D28</f>
        <v/>
      </c>
      <c r="K28">
        <f>E28</f>
        <v/>
      </c>
      <c r="L28">
        <f>F28</f>
        <v/>
      </c>
      <c r="M28" s="11">
        <f>I28*K28</f>
        <v/>
      </c>
      <c r="N28" s="12">
        <f>LN(G28)</f>
        <v/>
      </c>
      <c r="O28" s="12">
        <f>H28*Beta_0+I28*Beta_1+J28*Beta_2+K28*Beta_3+L28*Beta_4+M28*Beta_5</f>
        <v/>
      </c>
      <c r="P28" s="12">
        <f>N28-O28</f>
        <v/>
      </c>
      <c r="Q28" s="13">
        <f>EXP(O28)*Smearing_Factor</f>
        <v/>
      </c>
    </row>
    <row r="29">
      <c r="A29" t="n">
        <v>28</v>
      </c>
      <c r="B29" t="inlineStr">
        <is>
          <t>Social sciences, journalism and information</t>
        </is>
      </c>
      <c r="C29" s="9" t="n">
        <v>3.64</v>
      </c>
      <c r="D29" t="n">
        <v>6</v>
      </c>
      <c r="E29" t="n">
        <v>0</v>
      </c>
      <c r="F29" t="n">
        <v>0</v>
      </c>
      <c r="G29" s="10" t="n">
        <v>2780</v>
      </c>
      <c r="H29" t="n">
        <v>1</v>
      </c>
      <c r="I29" s="11">
        <f>C29-CGPA_Mean</f>
        <v/>
      </c>
      <c r="J29">
        <f>D29</f>
        <v/>
      </c>
      <c r="K29">
        <f>E29</f>
        <v/>
      </c>
      <c r="L29">
        <f>F29</f>
        <v/>
      </c>
      <c r="M29" s="11">
        <f>I29*K29</f>
        <v/>
      </c>
      <c r="N29" s="12">
        <f>LN(G29)</f>
        <v/>
      </c>
      <c r="O29" s="12">
        <f>H29*Beta_0+I29*Beta_1+J29*Beta_2+K29*Beta_3+L29*Beta_4+M29*Beta_5</f>
        <v/>
      </c>
      <c r="P29" s="12">
        <f>N29-O29</f>
        <v/>
      </c>
      <c r="Q29" s="13">
        <f>EXP(O29)*Smearing_Factor</f>
        <v/>
      </c>
    </row>
    <row r="30">
      <c r="A30" t="n">
        <v>29</v>
      </c>
      <c r="B30" t="inlineStr">
        <is>
          <t>Business, administration and law</t>
        </is>
      </c>
      <c r="C30" s="9" t="n">
        <v>3.03</v>
      </c>
      <c r="D30" t="n">
        <v>6</v>
      </c>
      <c r="E30" t="n">
        <v>0</v>
      </c>
      <c r="F30" t="n">
        <v>1</v>
      </c>
      <c r="G30" s="10" t="n">
        <v>3020</v>
      </c>
      <c r="H30" t="n">
        <v>1</v>
      </c>
      <c r="I30" s="11">
        <f>C30-CGPA_Mean</f>
        <v/>
      </c>
      <c r="J30">
        <f>D30</f>
        <v/>
      </c>
      <c r="K30">
        <f>E30</f>
        <v/>
      </c>
      <c r="L30">
        <f>F30</f>
        <v/>
      </c>
      <c r="M30" s="11">
        <f>I30*K30</f>
        <v/>
      </c>
      <c r="N30" s="12">
        <f>LN(G30)</f>
        <v/>
      </c>
      <c r="O30" s="12">
        <f>H30*Beta_0+I30*Beta_1+J30*Beta_2+K30*Beta_3+L30*Beta_4+M30*Beta_5</f>
        <v/>
      </c>
      <c r="P30" s="12">
        <f>N30-O30</f>
        <v/>
      </c>
      <c r="Q30" s="13">
        <f>EXP(O30)*Smearing_Factor</f>
        <v/>
      </c>
    </row>
    <row r="31">
      <c r="A31" t="n">
        <v>30</v>
      </c>
      <c r="B31" t="inlineStr">
        <is>
          <t>Engineering, manufacturing and construction</t>
        </is>
      </c>
      <c r="C31" s="9" t="n">
        <v>2.51</v>
      </c>
      <c r="D31" t="n">
        <v>3</v>
      </c>
      <c r="E31" t="n">
        <v>1</v>
      </c>
      <c r="F31" t="n">
        <v>1</v>
      </c>
      <c r="G31" s="10" t="n">
        <v>3390</v>
      </c>
      <c r="H31" t="n">
        <v>1</v>
      </c>
      <c r="I31" s="11">
        <f>C31-CGPA_Mean</f>
        <v/>
      </c>
      <c r="J31">
        <f>D31</f>
        <v/>
      </c>
      <c r="K31">
        <f>E31</f>
        <v/>
      </c>
      <c r="L31">
        <f>F31</f>
        <v/>
      </c>
      <c r="M31" s="11">
        <f>I31*K31</f>
        <v/>
      </c>
      <c r="N31" s="12">
        <f>LN(G31)</f>
        <v/>
      </c>
      <c r="O31" s="12">
        <f>H31*Beta_0+I31*Beta_1+J31*Beta_2+K31*Beta_3+L31*Beta_4+M31*Beta_5</f>
        <v/>
      </c>
      <c r="P31" s="12">
        <f>N31-O31</f>
        <v/>
      </c>
      <c r="Q31" s="13">
        <f>EXP(O31)*Smearing_Factor</f>
        <v/>
      </c>
    </row>
    <row r="32">
      <c r="A32" t="n">
        <v>31</v>
      </c>
      <c r="B32" t="inlineStr">
        <is>
          <t>Engineering, manufacturing and construction</t>
        </is>
      </c>
      <c r="C32" s="9" t="n">
        <v>3.27</v>
      </c>
      <c r="D32" t="n">
        <v>9</v>
      </c>
      <c r="E32" t="n">
        <v>1</v>
      </c>
      <c r="F32" t="n">
        <v>0</v>
      </c>
      <c r="G32" s="10" t="n">
        <v>2250</v>
      </c>
      <c r="H32" t="n">
        <v>1</v>
      </c>
      <c r="I32" s="11">
        <f>C32-CGPA_Mean</f>
        <v/>
      </c>
      <c r="J32">
        <f>D32</f>
        <v/>
      </c>
      <c r="K32">
        <f>E32</f>
        <v/>
      </c>
      <c r="L32">
        <f>F32</f>
        <v/>
      </c>
      <c r="M32" s="11">
        <f>I32*K32</f>
        <v/>
      </c>
      <c r="N32" s="12">
        <f>LN(G32)</f>
        <v/>
      </c>
      <c r="O32" s="12">
        <f>H32*Beta_0+I32*Beta_1+J32*Beta_2+K32*Beta_3+L32*Beta_4+M32*Beta_5</f>
        <v/>
      </c>
      <c r="P32" s="12">
        <f>N32-O32</f>
        <v/>
      </c>
      <c r="Q32" s="13">
        <f>EXP(O32)*Smearing_Factor</f>
        <v/>
      </c>
    </row>
    <row r="33">
      <c r="A33" t="n">
        <v>32</v>
      </c>
      <c r="B33" t="inlineStr">
        <is>
          <t>Business, administration and law</t>
        </is>
      </c>
      <c r="C33" s="9" t="n">
        <v>2.73</v>
      </c>
      <c r="D33" t="n">
        <v>3</v>
      </c>
      <c r="E33" t="n">
        <v>0</v>
      </c>
      <c r="F33" t="n">
        <v>0</v>
      </c>
      <c r="G33" s="10" t="n">
        <v>3020</v>
      </c>
      <c r="H33" t="n">
        <v>1</v>
      </c>
      <c r="I33" s="11">
        <f>C33-CGPA_Mean</f>
        <v/>
      </c>
      <c r="J33">
        <f>D33</f>
        <v/>
      </c>
      <c r="K33">
        <f>E33</f>
        <v/>
      </c>
      <c r="L33">
        <f>F33</f>
        <v/>
      </c>
      <c r="M33" s="11">
        <f>I33*K33</f>
        <v/>
      </c>
      <c r="N33" s="12">
        <f>LN(G33)</f>
        <v/>
      </c>
      <c r="O33" s="12">
        <f>H33*Beta_0+I33*Beta_1+J33*Beta_2+K33*Beta_3+L33*Beta_4+M33*Beta_5</f>
        <v/>
      </c>
      <c r="P33" s="12">
        <f>N33-O33</f>
        <v/>
      </c>
      <c r="Q33" s="13">
        <f>EXP(O33)*Smearing_Factor</f>
        <v/>
      </c>
    </row>
    <row r="34">
      <c r="A34" t="n">
        <v>33</v>
      </c>
      <c r="B34" t="inlineStr">
        <is>
          <t>Engineering, manufacturing and construction</t>
        </is>
      </c>
      <c r="C34" s="9" t="n">
        <v>2.48</v>
      </c>
      <c r="D34" t="n">
        <v>3</v>
      </c>
      <c r="E34" t="n">
        <v>1</v>
      </c>
      <c r="F34" t="n">
        <v>1</v>
      </c>
      <c r="G34" s="10" t="n">
        <v>2670</v>
      </c>
      <c r="H34" t="n">
        <v>1</v>
      </c>
      <c r="I34" s="11">
        <f>C34-CGPA_Mean</f>
        <v/>
      </c>
      <c r="J34">
        <f>D34</f>
        <v/>
      </c>
      <c r="K34">
        <f>E34</f>
        <v/>
      </c>
      <c r="L34">
        <f>F34</f>
        <v/>
      </c>
      <c r="M34" s="11">
        <f>I34*K34</f>
        <v/>
      </c>
      <c r="N34" s="12">
        <f>LN(G34)</f>
        <v/>
      </c>
      <c r="O34" s="12">
        <f>H34*Beta_0+I34*Beta_1+J34*Beta_2+K34*Beta_3+L34*Beta_4+M34*Beta_5</f>
        <v/>
      </c>
      <c r="P34" s="12">
        <f>N34-O34</f>
        <v/>
      </c>
      <c r="Q34" s="13">
        <f>EXP(O34)*Smearing_Factor</f>
        <v/>
      </c>
    </row>
    <row r="35">
      <c r="A35" t="n">
        <v>34</v>
      </c>
      <c r="B35" t="inlineStr">
        <is>
          <t>Social sciences, journalism and information</t>
        </is>
      </c>
      <c r="C35" s="9" t="n">
        <v>3.5</v>
      </c>
      <c r="D35" t="n">
        <v>9</v>
      </c>
      <c r="E35" t="n">
        <v>0</v>
      </c>
      <c r="F35" t="n">
        <v>1</v>
      </c>
      <c r="G35" s="10" t="n">
        <v>2160</v>
      </c>
      <c r="H35" t="n">
        <v>1</v>
      </c>
      <c r="I35" s="11">
        <f>C35-CGPA_Mean</f>
        <v/>
      </c>
      <c r="J35">
        <f>D35</f>
        <v/>
      </c>
      <c r="K35">
        <f>E35</f>
        <v/>
      </c>
      <c r="L35">
        <f>F35</f>
        <v/>
      </c>
      <c r="M35" s="11">
        <f>I35*K35</f>
        <v/>
      </c>
      <c r="N35" s="12">
        <f>LN(G35)</f>
        <v/>
      </c>
      <c r="O35" s="12">
        <f>H35*Beta_0+I35*Beta_1+J35*Beta_2+K35*Beta_3+L35*Beta_4+M35*Beta_5</f>
        <v/>
      </c>
      <c r="P35" s="12">
        <f>N35-O35</f>
        <v/>
      </c>
      <c r="Q35" s="13">
        <f>EXP(O35)*Smearing_Factor</f>
        <v/>
      </c>
    </row>
    <row r="36">
      <c r="A36" t="n">
        <v>35</v>
      </c>
      <c r="B36" t="inlineStr">
        <is>
          <t>Information and communication technologies</t>
        </is>
      </c>
      <c r="C36" s="9" t="n">
        <v>3.42</v>
      </c>
      <c r="D36" t="n">
        <v>6</v>
      </c>
      <c r="E36" t="n">
        <v>1</v>
      </c>
      <c r="F36" t="n">
        <v>0</v>
      </c>
      <c r="G36" s="10" t="n">
        <v>3110</v>
      </c>
      <c r="H36" t="n">
        <v>1</v>
      </c>
      <c r="I36" s="11">
        <f>C36-CGPA_Mean</f>
        <v/>
      </c>
      <c r="J36">
        <f>D36</f>
        <v/>
      </c>
      <c r="K36">
        <f>E36</f>
        <v/>
      </c>
      <c r="L36">
        <f>F36</f>
        <v/>
      </c>
      <c r="M36" s="11">
        <f>I36*K36</f>
        <v/>
      </c>
      <c r="N36" s="12">
        <f>LN(G36)</f>
        <v/>
      </c>
      <c r="O36" s="12">
        <f>H36*Beta_0+I36*Beta_1+J36*Beta_2+K36*Beta_3+L36*Beta_4+M36*Beta_5</f>
        <v/>
      </c>
      <c r="P36" s="12">
        <f>N36-O36</f>
        <v/>
      </c>
      <c r="Q36" s="13">
        <f>EXP(O36)*Smearing_Factor</f>
        <v/>
      </c>
    </row>
    <row r="37">
      <c r="A37" t="n">
        <v>36</v>
      </c>
      <c r="B37" t="inlineStr">
        <is>
          <t>Education</t>
        </is>
      </c>
      <c r="C37" s="9" t="n">
        <v>3.17</v>
      </c>
      <c r="D37" t="n">
        <v>6</v>
      </c>
      <c r="E37" t="n">
        <v>0</v>
      </c>
      <c r="F37" t="n">
        <v>1</v>
      </c>
      <c r="G37" s="10" t="n">
        <v>1480</v>
      </c>
      <c r="H37" t="n">
        <v>1</v>
      </c>
      <c r="I37" s="11">
        <f>C37-CGPA_Mean</f>
        <v/>
      </c>
      <c r="J37">
        <f>D37</f>
        <v/>
      </c>
      <c r="K37">
        <f>E37</f>
        <v/>
      </c>
      <c r="L37">
        <f>F37</f>
        <v/>
      </c>
      <c r="M37" s="11">
        <f>I37*K37</f>
        <v/>
      </c>
      <c r="N37" s="12">
        <f>LN(G37)</f>
        <v/>
      </c>
      <c r="O37" s="12">
        <f>H37*Beta_0+I37*Beta_1+J37*Beta_2+K37*Beta_3+L37*Beta_4+M37*Beta_5</f>
        <v/>
      </c>
      <c r="P37" s="12">
        <f>N37-O37</f>
        <v/>
      </c>
      <c r="Q37" s="13">
        <f>EXP(O37)*Smearing_Factor</f>
        <v/>
      </c>
    </row>
    <row r="38">
      <c r="A38" t="n">
        <v>37</v>
      </c>
      <c r="B38" t="inlineStr">
        <is>
          <t>Business, administration and law</t>
        </is>
      </c>
      <c r="C38" s="9" t="n">
        <v>3.48</v>
      </c>
      <c r="D38" t="n">
        <v>6</v>
      </c>
      <c r="E38" t="n">
        <v>0</v>
      </c>
      <c r="F38" t="n">
        <v>0</v>
      </c>
      <c r="G38" s="10" t="n">
        <v>2870</v>
      </c>
      <c r="H38" t="n">
        <v>1</v>
      </c>
      <c r="I38" s="11">
        <f>C38-CGPA_Mean</f>
        <v/>
      </c>
      <c r="J38">
        <f>D38</f>
        <v/>
      </c>
      <c r="K38">
        <f>E38</f>
        <v/>
      </c>
      <c r="L38">
        <f>F38</f>
        <v/>
      </c>
      <c r="M38" s="11">
        <f>I38*K38</f>
        <v/>
      </c>
      <c r="N38" s="12">
        <f>LN(G38)</f>
        <v/>
      </c>
      <c r="O38" s="12">
        <f>H38*Beta_0+I38*Beta_1+J38*Beta_2+K38*Beta_3+L38*Beta_4+M38*Beta_5</f>
        <v/>
      </c>
      <c r="P38" s="12">
        <f>N38-O38</f>
        <v/>
      </c>
      <c r="Q38" s="13">
        <f>EXP(O38)*Smearing_Factor</f>
        <v/>
      </c>
    </row>
    <row r="39">
      <c r="A39" t="n">
        <v>38</v>
      </c>
      <c r="B39" t="inlineStr">
        <is>
          <t>Natural sciences, mathematics and statistics</t>
        </is>
      </c>
      <c r="C39" s="9" t="n">
        <v>2.9</v>
      </c>
      <c r="D39" t="n">
        <v>6</v>
      </c>
      <c r="E39" t="n">
        <v>1</v>
      </c>
      <c r="F39" t="n">
        <v>1</v>
      </c>
      <c r="G39" s="10" t="n">
        <v>610</v>
      </c>
      <c r="H39" t="n">
        <v>1</v>
      </c>
      <c r="I39" s="11">
        <f>C39-CGPA_Mean</f>
        <v/>
      </c>
      <c r="J39">
        <f>D39</f>
        <v/>
      </c>
      <c r="K39">
        <f>E39</f>
        <v/>
      </c>
      <c r="L39">
        <f>F39</f>
        <v/>
      </c>
      <c r="M39" s="11">
        <f>I39*K39</f>
        <v/>
      </c>
      <c r="N39" s="12">
        <f>LN(G39)</f>
        <v/>
      </c>
      <c r="O39" s="12">
        <f>H39*Beta_0+I39*Beta_1+J39*Beta_2+K39*Beta_3+L39*Beta_4+M39*Beta_5</f>
        <v/>
      </c>
      <c r="P39" s="12">
        <f>N39-O39</f>
        <v/>
      </c>
      <c r="Q39" s="13">
        <f>EXP(O39)*Smearing_Factor</f>
        <v/>
      </c>
    </row>
    <row r="40">
      <c r="A40" t="n">
        <v>39</v>
      </c>
      <c r="B40" t="inlineStr">
        <is>
          <t>Health and welfare</t>
        </is>
      </c>
      <c r="C40" s="9" t="n">
        <v>3.1</v>
      </c>
      <c r="D40" t="n">
        <v>6</v>
      </c>
      <c r="E40" t="n">
        <v>0</v>
      </c>
      <c r="F40" t="n">
        <v>0</v>
      </c>
      <c r="G40" s="10" t="n">
        <v>2240</v>
      </c>
      <c r="H40" t="n">
        <v>1</v>
      </c>
      <c r="I40" s="11">
        <f>C40-CGPA_Mean</f>
        <v/>
      </c>
      <c r="J40">
        <f>D40</f>
        <v/>
      </c>
      <c r="K40">
        <f>E40</f>
        <v/>
      </c>
      <c r="L40">
        <f>F40</f>
        <v/>
      </c>
      <c r="M40" s="11">
        <f>I40*K40</f>
        <v/>
      </c>
      <c r="N40" s="12">
        <f>LN(G40)</f>
        <v/>
      </c>
      <c r="O40" s="12">
        <f>H40*Beta_0+I40*Beta_1+J40*Beta_2+K40*Beta_3+L40*Beta_4+M40*Beta_5</f>
        <v/>
      </c>
      <c r="P40" s="12">
        <f>N40-O40</f>
        <v/>
      </c>
      <c r="Q40" s="13">
        <f>EXP(O40)*Smearing_Factor</f>
        <v/>
      </c>
    </row>
    <row r="41">
      <c r="A41" t="n">
        <v>40</v>
      </c>
      <c r="B41" t="inlineStr">
        <is>
          <t>Business, administration and law</t>
        </is>
      </c>
      <c r="C41" s="9" t="n">
        <v>3.34</v>
      </c>
      <c r="D41" t="n">
        <v>6</v>
      </c>
      <c r="E41" t="n">
        <v>0</v>
      </c>
      <c r="F41" t="n">
        <v>0</v>
      </c>
      <c r="G41" s="10" t="n">
        <v>2800</v>
      </c>
      <c r="H41" t="n">
        <v>1</v>
      </c>
      <c r="I41" s="11">
        <f>C41-CGPA_Mean</f>
        <v/>
      </c>
      <c r="J41">
        <f>D41</f>
        <v/>
      </c>
      <c r="K41">
        <f>E41</f>
        <v/>
      </c>
      <c r="L41">
        <f>F41</f>
        <v/>
      </c>
      <c r="M41" s="11">
        <f>I41*K41</f>
        <v/>
      </c>
      <c r="N41" s="12">
        <f>LN(G41)</f>
        <v/>
      </c>
      <c r="O41" s="12">
        <f>H41*Beta_0+I41*Beta_1+J41*Beta_2+K41*Beta_3+L41*Beta_4+M41*Beta_5</f>
        <v/>
      </c>
      <c r="P41" s="12">
        <f>N41-O41</f>
        <v/>
      </c>
      <c r="Q41" s="13">
        <f>EXP(O41)*Smearing_Factor</f>
        <v/>
      </c>
    </row>
    <row r="42">
      <c r="A42" t="n">
        <v>41</v>
      </c>
      <c r="B42" t="inlineStr">
        <is>
          <t>Education</t>
        </is>
      </c>
      <c r="C42" s="9" t="n">
        <v>3.3</v>
      </c>
      <c r="D42" t="n">
        <v>6</v>
      </c>
      <c r="E42" t="n">
        <v>0</v>
      </c>
      <c r="F42" t="n">
        <v>1</v>
      </c>
      <c r="G42" s="10" t="n">
        <v>1850</v>
      </c>
      <c r="H42" t="n">
        <v>1</v>
      </c>
      <c r="I42" s="11">
        <f>C42-CGPA_Mean</f>
        <v/>
      </c>
      <c r="J42">
        <f>D42</f>
        <v/>
      </c>
      <c r="K42">
        <f>E42</f>
        <v/>
      </c>
      <c r="L42">
        <f>F42</f>
        <v/>
      </c>
      <c r="M42" s="11">
        <f>I42*K42</f>
        <v/>
      </c>
      <c r="N42" s="12">
        <f>LN(G42)</f>
        <v/>
      </c>
      <c r="O42" s="12">
        <f>H42*Beta_0+I42*Beta_1+J42*Beta_2+K42*Beta_3+L42*Beta_4+M42*Beta_5</f>
        <v/>
      </c>
      <c r="P42" s="12">
        <f>N42-O42</f>
        <v/>
      </c>
      <c r="Q42" s="13">
        <f>EXP(O42)*Smearing_Factor</f>
        <v/>
      </c>
    </row>
    <row r="43">
      <c r="A43" t="n">
        <v>42</v>
      </c>
      <c r="B43" t="inlineStr">
        <is>
          <t>Education</t>
        </is>
      </c>
      <c r="C43" s="9" t="n">
        <v>3.23</v>
      </c>
      <c r="D43" t="n">
        <v>6</v>
      </c>
      <c r="E43" t="n">
        <v>0</v>
      </c>
      <c r="F43" t="n">
        <v>0</v>
      </c>
      <c r="G43" s="10" t="n">
        <v>850</v>
      </c>
      <c r="H43" t="n">
        <v>1</v>
      </c>
      <c r="I43" s="11">
        <f>C43-CGPA_Mean</f>
        <v/>
      </c>
      <c r="J43">
        <f>D43</f>
        <v/>
      </c>
      <c r="K43">
        <f>E43</f>
        <v/>
      </c>
      <c r="L43">
        <f>F43</f>
        <v/>
      </c>
      <c r="M43" s="11">
        <f>I43*K43</f>
        <v/>
      </c>
      <c r="N43" s="12">
        <f>LN(G43)</f>
        <v/>
      </c>
      <c r="O43" s="12">
        <f>H43*Beta_0+I43*Beta_1+J43*Beta_2+K43*Beta_3+L43*Beta_4+M43*Beta_5</f>
        <v/>
      </c>
      <c r="P43" s="12">
        <f>N43-O43</f>
        <v/>
      </c>
      <c r="Q43" s="13">
        <f>EXP(O43)*Smearing_Factor</f>
        <v/>
      </c>
    </row>
    <row r="44">
      <c r="A44" t="n">
        <v>43</v>
      </c>
      <c r="B44" t="inlineStr">
        <is>
          <t>Business, administration and law</t>
        </is>
      </c>
      <c r="C44" s="9" t="n">
        <v>3.66</v>
      </c>
      <c r="D44" t="n">
        <v>6</v>
      </c>
      <c r="E44" t="n">
        <v>0</v>
      </c>
      <c r="F44" t="n">
        <v>1</v>
      </c>
      <c r="G44" s="10" t="n">
        <v>3320</v>
      </c>
      <c r="H44" t="n">
        <v>1</v>
      </c>
      <c r="I44" s="11">
        <f>C44-CGPA_Mean</f>
        <v/>
      </c>
      <c r="J44">
        <f>D44</f>
        <v/>
      </c>
      <c r="K44">
        <f>E44</f>
        <v/>
      </c>
      <c r="L44">
        <f>F44</f>
        <v/>
      </c>
      <c r="M44" s="11">
        <f>I44*K44</f>
        <v/>
      </c>
      <c r="N44" s="12">
        <f>LN(G44)</f>
        <v/>
      </c>
      <c r="O44" s="12">
        <f>H44*Beta_0+I44*Beta_1+J44*Beta_2+K44*Beta_3+L44*Beta_4+M44*Beta_5</f>
        <v/>
      </c>
      <c r="P44" s="12">
        <f>N44-O44</f>
        <v/>
      </c>
      <c r="Q44" s="13">
        <f>EXP(O44)*Smearing_Factor</f>
        <v/>
      </c>
    </row>
    <row r="45">
      <c r="A45" t="n">
        <v>44</v>
      </c>
      <c r="B45" t="inlineStr">
        <is>
          <t>Business, administration and law</t>
        </is>
      </c>
      <c r="C45" s="9" t="n">
        <v>3.2</v>
      </c>
      <c r="D45" t="n">
        <v>6</v>
      </c>
      <c r="E45" t="n">
        <v>0</v>
      </c>
      <c r="F45" t="n">
        <v>0</v>
      </c>
      <c r="G45" s="10" t="n">
        <v>2700</v>
      </c>
      <c r="H45" t="n">
        <v>1</v>
      </c>
      <c r="I45" s="11">
        <f>C45-CGPA_Mean</f>
        <v/>
      </c>
      <c r="J45">
        <f>D45</f>
        <v/>
      </c>
      <c r="K45">
        <f>E45</f>
        <v/>
      </c>
      <c r="L45">
        <f>F45</f>
        <v/>
      </c>
      <c r="M45" s="11">
        <f>I45*K45</f>
        <v/>
      </c>
      <c r="N45" s="12">
        <f>LN(G45)</f>
        <v/>
      </c>
      <c r="O45" s="12">
        <f>H45*Beta_0+I45*Beta_1+J45*Beta_2+K45*Beta_3+L45*Beta_4+M45*Beta_5</f>
        <v/>
      </c>
      <c r="P45" s="12">
        <f>N45-O45</f>
        <v/>
      </c>
      <c r="Q45" s="13">
        <f>EXP(O45)*Smearing_Factor</f>
        <v/>
      </c>
    </row>
    <row r="46">
      <c r="A46" t="n">
        <v>45</v>
      </c>
      <c r="B46" t="inlineStr">
        <is>
          <t>Business, administration and law</t>
        </is>
      </c>
      <c r="C46" s="9" t="n">
        <v>3.43</v>
      </c>
      <c r="D46" t="n">
        <v>6</v>
      </c>
      <c r="E46" t="n">
        <v>0</v>
      </c>
      <c r="F46" t="n">
        <v>0</v>
      </c>
      <c r="G46" s="10" t="n">
        <v>2400</v>
      </c>
      <c r="H46" t="n">
        <v>1</v>
      </c>
      <c r="I46" s="11">
        <f>C46-CGPA_Mean</f>
        <v/>
      </c>
      <c r="J46">
        <f>D46</f>
        <v/>
      </c>
      <c r="K46">
        <f>E46</f>
        <v/>
      </c>
      <c r="L46">
        <f>F46</f>
        <v/>
      </c>
      <c r="M46" s="11">
        <f>I46*K46</f>
        <v/>
      </c>
      <c r="N46" s="12">
        <f>LN(G46)</f>
        <v/>
      </c>
      <c r="O46" s="12">
        <f>H46*Beta_0+I46*Beta_1+J46*Beta_2+K46*Beta_3+L46*Beta_4+M46*Beta_5</f>
        <v/>
      </c>
      <c r="P46" s="12">
        <f>N46-O46</f>
        <v/>
      </c>
      <c r="Q46" s="13">
        <f>EXP(O46)*Smearing_Factor</f>
        <v/>
      </c>
    </row>
    <row r="47">
      <c r="A47" t="n">
        <v>46</v>
      </c>
      <c r="B47" t="inlineStr">
        <is>
          <t>Engineering, manufacturing and construction</t>
        </is>
      </c>
      <c r="C47" s="9" t="n">
        <v>3.49</v>
      </c>
      <c r="D47" t="n">
        <v>3</v>
      </c>
      <c r="E47" t="n">
        <v>1</v>
      </c>
      <c r="F47" t="n">
        <v>1</v>
      </c>
      <c r="G47" s="10" t="n">
        <v>2070</v>
      </c>
      <c r="H47" t="n">
        <v>1</v>
      </c>
      <c r="I47" s="11">
        <f>C47-CGPA_Mean</f>
        <v/>
      </c>
      <c r="J47">
        <f>D47</f>
        <v/>
      </c>
      <c r="K47">
        <f>E47</f>
        <v/>
      </c>
      <c r="L47">
        <f>F47</f>
        <v/>
      </c>
      <c r="M47" s="11">
        <f>I47*K47</f>
        <v/>
      </c>
      <c r="N47" s="12">
        <f>LN(G47)</f>
        <v/>
      </c>
      <c r="O47" s="12">
        <f>H47*Beta_0+I47*Beta_1+J47*Beta_2+K47*Beta_3+L47*Beta_4+M47*Beta_5</f>
        <v/>
      </c>
      <c r="P47" s="12">
        <f>N47-O47</f>
        <v/>
      </c>
      <c r="Q47" s="13">
        <f>EXP(O47)*Smearing_Factor</f>
        <v/>
      </c>
    </row>
    <row r="48">
      <c r="A48" t="n">
        <v>47</v>
      </c>
      <c r="B48" t="inlineStr">
        <is>
          <t>Information and communication technologies</t>
        </is>
      </c>
      <c r="C48" s="9" t="n">
        <v>3.86</v>
      </c>
      <c r="D48" t="n">
        <v>3</v>
      </c>
      <c r="E48" t="n">
        <v>1</v>
      </c>
      <c r="F48" t="n">
        <v>0</v>
      </c>
      <c r="G48" s="10" t="n">
        <v>4310</v>
      </c>
      <c r="H48" t="n">
        <v>1</v>
      </c>
      <c r="I48" s="11">
        <f>C48-CGPA_Mean</f>
        <v/>
      </c>
      <c r="J48">
        <f>D48</f>
        <v/>
      </c>
      <c r="K48">
        <f>E48</f>
        <v/>
      </c>
      <c r="L48">
        <f>F48</f>
        <v/>
      </c>
      <c r="M48" s="11">
        <f>I48*K48</f>
        <v/>
      </c>
      <c r="N48" s="12">
        <f>LN(G48)</f>
        <v/>
      </c>
      <c r="O48" s="12">
        <f>H48*Beta_0+I48*Beta_1+J48*Beta_2+K48*Beta_3+L48*Beta_4+M48*Beta_5</f>
        <v/>
      </c>
      <c r="P48" s="12">
        <f>N48-O48</f>
        <v/>
      </c>
      <c r="Q48" s="13">
        <f>EXP(O48)*Smearing_Factor</f>
        <v/>
      </c>
    </row>
    <row r="49">
      <c r="A49" t="n">
        <v>48</v>
      </c>
      <c r="B49" t="inlineStr">
        <is>
          <t>Business, administration and law</t>
        </is>
      </c>
      <c r="C49" s="9" t="n">
        <v>3.62</v>
      </c>
      <c r="D49" t="n">
        <v>6</v>
      </c>
      <c r="E49" t="n">
        <v>0</v>
      </c>
      <c r="F49" t="n">
        <v>1</v>
      </c>
      <c r="G49" s="10" t="n">
        <v>3970</v>
      </c>
      <c r="H49" t="n">
        <v>1</v>
      </c>
      <c r="I49" s="11">
        <f>C49-CGPA_Mean</f>
        <v/>
      </c>
      <c r="J49">
        <f>D49</f>
        <v/>
      </c>
      <c r="K49">
        <f>E49</f>
        <v/>
      </c>
      <c r="L49">
        <f>F49</f>
        <v/>
      </c>
      <c r="M49" s="11">
        <f>I49*K49</f>
        <v/>
      </c>
      <c r="N49" s="12">
        <f>LN(G49)</f>
        <v/>
      </c>
      <c r="O49" s="12">
        <f>H49*Beta_0+I49*Beta_1+J49*Beta_2+K49*Beta_3+L49*Beta_4+M49*Beta_5</f>
        <v/>
      </c>
      <c r="P49" s="12">
        <f>N49-O49</f>
        <v/>
      </c>
      <c r="Q49" s="13">
        <f>EXP(O49)*Smearing_Factor</f>
        <v/>
      </c>
    </row>
    <row r="50">
      <c r="A50" t="n">
        <v>49</v>
      </c>
      <c r="B50" t="inlineStr">
        <is>
          <t>Business, administration and law</t>
        </is>
      </c>
      <c r="C50" s="9" t="n">
        <v>3.58</v>
      </c>
      <c r="D50" t="n">
        <v>9</v>
      </c>
      <c r="E50" t="n">
        <v>0</v>
      </c>
      <c r="F50" t="n">
        <v>0</v>
      </c>
      <c r="G50" s="10" t="n">
        <v>2590</v>
      </c>
      <c r="H50" t="n">
        <v>1</v>
      </c>
      <c r="I50" s="11">
        <f>C50-CGPA_Mean</f>
        <v/>
      </c>
      <c r="J50">
        <f>D50</f>
        <v/>
      </c>
      <c r="K50">
        <f>E50</f>
        <v/>
      </c>
      <c r="L50">
        <f>F50</f>
        <v/>
      </c>
      <c r="M50" s="11">
        <f>I50*K50</f>
        <v/>
      </c>
      <c r="N50" s="12">
        <f>LN(G50)</f>
        <v/>
      </c>
      <c r="O50" s="12">
        <f>H50*Beta_0+I50*Beta_1+J50*Beta_2+K50*Beta_3+L50*Beta_4+M50*Beta_5</f>
        <v/>
      </c>
      <c r="P50" s="12">
        <f>N50-O50</f>
        <v/>
      </c>
      <c r="Q50" s="13">
        <f>EXP(O50)*Smearing_Factor</f>
        <v/>
      </c>
    </row>
    <row r="51">
      <c r="A51" t="n">
        <v>50</v>
      </c>
      <c r="B51" t="inlineStr">
        <is>
          <t>Business, administration and law</t>
        </is>
      </c>
      <c r="C51" s="9" t="n">
        <v>3.05</v>
      </c>
      <c r="D51" t="n">
        <v>6</v>
      </c>
      <c r="E51" t="n">
        <v>0</v>
      </c>
      <c r="F51" t="n">
        <v>1</v>
      </c>
      <c r="G51" s="10" t="n">
        <v>3860</v>
      </c>
      <c r="H51" t="n">
        <v>1</v>
      </c>
      <c r="I51" s="11">
        <f>C51-CGPA_Mean</f>
        <v/>
      </c>
      <c r="J51">
        <f>D51</f>
        <v/>
      </c>
      <c r="K51">
        <f>E51</f>
        <v/>
      </c>
      <c r="L51">
        <f>F51</f>
        <v/>
      </c>
      <c r="M51" s="11">
        <f>I51*K51</f>
        <v/>
      </c>
      <c r="N51" s="12">
        <f>LN(G51)</f>
        <v/>
      </c>
      <c r="O51" s="12">
        <f>H51*Beta_0+I51*Beta_1+J51*Beta_2+K51*Beta_3+L51*Beta_4+M51*Beta_5</f>
        <v/>
      </c>
      <c r="P51" s="12">
        <f>N51-O51</f>
        <v/>
      </c>
      <c r="Q51" s="13">
        <f>EXP(O51)*Smearing_Factor</f>
        <v/>
      </c>
    </row>
    <row r="52">
      <c r="A52" t="n">
        <v>51</v>
      </c>
      <c r="B52" t="inlineStr">
        <is>
          <t>Information and communication technologies</t>
        </is>
      </c>
      <c r="C52" s="9" t="n">
        <v>2.99</v>
      </c>
      <c r="D52" t="n">
        <v>6</v>
      </c>
      <c r="E52" t="n">
        <v>1</v>
      </c>
      <c r="F52" t="n">
        <v>1</v>
      </c>
      <c r="G52" s="10" t="n">
        <v>4060</v>
      </c>
      <c r="H52" t="n">
        <v>1</v>
      </c>
      <c r="I52" s="11">
        <f>C52-CGPA_Mean</f>
        <v/>
      </c>
      <c r="J52">
        <f>D52</f>
        <v/>
      </c>
      <c r="K52">
        <f>E52</f>
        <v/>
      </c>
      <c r="L52">
        <f>F52</f>
        <v/>
      </c>
      <c r="M52" s="11">
        <f>I52*K52</f>
        <v/>
      </c>
      <c r="N52" s="12">
        <f>LN(G52)</f>
        <v/>
      </c>
      <c r="O52" s="12">
        <f>H52*Beta_0+I52*Beta_1+J52*Beta_2+K52*Beta_3+L52*Beta_4+M52*Beta_5</f>
        <v/>
      </c>
      <c r="P52" s="12">
        <f>N52-O52</f>
        <v/>
      </c>
      <c r="Q52" s="13">
        <f>EXP(O52)*Smearing_Factor</f>
        <v/>
      </c>
    </row>
    <row r="53">
      <c r="A53" t="n">
        <v>52</v>
      </c>
      <c r="B53" t="inlineStr">
        <is>
          <t>Business, administration and law</t>
        </is>
      </c>
      <c r="C53" s="9" t="n">
        <v>3.86</v>
      </c>
      <c r="D53" t="n">
        <v>3</v>
      </c>
      <c r="E53" t="n">
        <v>0</v>
      </c>
      <c r="F53" t="n">
        <v>1</v>
      </c>
      <c r="G53" s="10" t="n">
        <v>3360</v>
      </c>
      <c r="H53" t="n">
        <v>1</v>
      </c>
      <c r="I53" s="11">
        <f>C53-CGPA_Mean</f>
        <v/>
      </c>
      <c r="J53">
        <f>D53</f>
        <v/>
      </c>
      <c r="K53">
        <f>E53</f>
        <v/>
      </c>
      <c r="L53">
        <f>F53</f>
        <v/>
      </c>
      <c r="M53" s="11">
        <f>I53*K53</f>
        <v/>
      </c>
      <c r="N53" s="12">
        <f>LN(G53)</f>
        <v/>
      </c>
      <c r="O53" s="12">
        <f>H53*Beta_0+I53*Beta_1+J53*Beta_2+K53*Beta_3+L53*Beta_4+M53*Beta_5</f>
        <v/>
      </c>
      <c r="P53" s="12">
        <f>N53-O53</f>
        <v/>
      </c>
      <c r="Q53" s="13">
        <f>EXP(O53)*Smearing_Factor</f>
        <v/>
      </c>
    </row>
    <row r="54">
      <c r="A54" t="n">
        <v>53</v>
      </c>
      <c r="B54" t="inlineStr">
        <is>
          <t>Business, administration and law</t>
        </is>
      </c>
      <c r="C54" s="9" t="n">
        <v>3.31</v>
      </c>
      <c r="D54" t="n">
        <v>6</v>
      </c>
      <c r="E54" t="n">
        <v>0</v>
      </c>
      <c r="F54" t="n">
        <v>1</v>
      </c>
      <c r="G54" s="10" t="n">
        <v>1870</v>
      </c>
      <c r="H54" t="n">
        <v>1</v>
      </c>
      <c r="I54" s="11">
        <f>C54-CGPA_Mean</f>
        <v/>
      </c>
      <c r="J54">
        <f>D54</f>
        <v/>
      </c>
      <c r="K54">
        <f>E54</f>
        <v/>
      </c>
      <c r="L54">
        <f>F54</f>
        <v/>
      </c>
      <c r="M54" s="11">
        <f>I54*K54</f>
        <v/>
      </c>
      <c r="N54" s="12">
        <f>LN(G54)</f>
        <v/>
      </c>
      <c r="O54" s="12">
        <f>H54*Beta_0+I54*Beta_1+J54*Beta_2+K54*Beta_3+L54*Beta_4+M54*Beta_5</f>
        <v/>
      </c>
      <c r="P54" s="12">
        <f>N54-O54</f>
        <v/>
      </c>
      <c r="Q54" s="13">
        <f>EXP(O54)*Smearing_Factor</f>
        <v/>
      </c>
    </row>
    <row r="55">
      <c r="A55" t="n">
        <v>54</v>
      </c>
      <c r="B55" t="inlineStr">
        <is>
          <t>Social sciences, journalism and information</t>
        </is>
      </c>
      <c r="C55" s="9" t="n">
        <v>3.41</v>
      </c>
      <c r="D55" t="n">
        <v>6</v>
      </c>
      <c r="E55" t="n">
        <v>0</v>
      </c>
      <c r="F55" t="n">
        <v>0</v>
      </c>
      <c r="G55" s="10" t="n">
        <v>9640</v>
      </c>
      <c r="H55" t="n">
        <v>1</v>
      </c>
      <c r="I55" s="11">
        <f>C55-CGPA_Mean</f>
        <v/>
      </c>
      <c r="J55">
        <f>D55</f>
        <v/>
      </c>
      <c r="K55">
        <f>E55</f>
        <v/>
      </c>
      <c r="L55">
        <f>F55</f>
        <v/>
      </c>
      <c r="M55" s="11">
        <f>I55*K55</f>
        <v/>
      </c>
      <c r="N55" s="12">
        <f>LN(G55)</f>
        <v/>
      </c>
      <c r="O55" s="12">
        <f>H55*Beta_0+I55*Beta_1+J55*Beta_2+K55*Beta_3+L55*Beta_4+M55*Beta_5</f>
        <v/>
      </c>
      <c r="P55" s="12">
        <f>N55-O55</f>
        <v/>
      </c>
      <c r="Q55" s="13">
        <f>EXP(O55)*Smearing_Factor</f>
        <v/>
      </c>
    </row>
    <row r="56">
      <c r="A56" t="n">
        <v>55</v>
      </c>
      <c r="B56" t="inlineStr">
        <is>
          <t>Services</t>
        </is>
      </c>
      <c r="C56" s="9" t="n">
        <v>3.41</v>
      </c>
      <c r="D56" t="n">
        <v>3</v>
      </c>
      <c r="E56" t="n">
        <v>0</v>
      </c>
      <c r="F56" t="n">
        <v>0</v>
      </c>
      <c r="G56" s="10" t="n">
        <v>950</v>
      </c>
      <c r="H56" t="n">
        <v>1</v>
      </c>
      <c r="I56" s="11">
        <f>C56-CGPA_Mean</f>
        <v/>
      </c>
      <c r="J56">
        <f>D56</f>
        <v/>
      </c>
      <c r="K56">
        <f>E56</f>
        <v/>
      </c>
      <c r="L56">
        <f>F56</f>
        <v/>
      </c>
      <c r="M56" s="11">
        <f>I56*K56</f>
        <v/>
      </c>
      <c r="N56" s="12">
        <f>LN(G56)</f>
        <v/>
      </c>
      <c r="O56" s="12">
        <f>H56*Beta_0+I56*Beta_1+J56*Beta_2+K56*Beta_3+L56*Beta_4+M56*Beta_5</f>
        <v/>
      </c>
      <c r="P56" s="12">
        <f>N56-O56</f>
        <v/>
      </c>
      <c r="Q56" s="13">
        <f>EXP(O56)*Smearing_Factor</f>
        <v/>
      </c>
    </row>
    <row r="57">
      <c r="A57" t="n">
        <v>56</v>
      </c>
      <c r="B57" t="inlineStr">
        <is>
          <t>Arts and humanities</t>
        </is>
      </c>
      <c r="C57" s="9" t="n">
        <v>3.19</v>
      </c>
      <c r="D57" t="n">
        <v>3</v>
      </c>
      <c r="E57" t="n">
        <v>0</v>
      </c>
      <c r="F57" t="n">
        <v>1</v>
      </c>
      <c r="G57" s="10" t="n">
        <v>2010</v>
      </c>
      <c r="H57" t="n">
        <v>1</v>
      </c>
      <c r="I57" s="11">
        <f>C57-CGPA_Mean</f>
        <v/>
      </c>
      <c r="J57">
        <f>D57</f>
        <v/>
      </c>
      <c r="K57">
        <f>E57</f>
        <v/>
      </c>
      <c r="L57">
        <f>F57</f>
        <v/>
      </c>
      <c r="M57" s="11">
        <f>I57*K57</f>
        <v/>
      </c>
      <c r="N57" s="12">
        <f>LN(G57)</f>
        <v/>
      </c>
      <c r="O57" s="12">
        <f>H57*Beta_0+I57*Beta_1+J57*Beta_2+K57*Beta_3+L57*Beta_4+M57*Beta_5</f>
        <v/>
      </c>
      <c r="P57" s="12">
        <f>N57-O57</f>
        <v/>
      </c>
      <c r="Q57" s="13">
        <f>EXP(O57)*Smearing_Factor</f>
        <v/>
      </c>
    </row>
    <row r="58">
      <c r="A58" t="n">
        <v>57</v>
      </c>
      <c r="B58" t="inlineStr">
        <is>
          <t>Health and welfare</t>
        </is>
      </c>
      <c r="C58" s="9" t="n">
        <v>3.1</v>
      </c>
      <c r="D58" t="n">
        <v>3</v>
      </c>
      <c r="E58" t="n">
        <v>0</v>
      </c>
      <c r="F58" t="n">
        <v>1</v>
      </c>
      <c r="G58" s="10" t="n">
        <v>1290</v>
      </c>
      <c r="H58" t="n">
        <v>1</v>
      </c>
      <c r="I58" s="11">
        <f>C58-CGPA_Mean</f>
        <v/>
      </c>
      <c r="J58">
        <f>D58</f>
        <v/>
      </c>
      <c r="K58">
        <f>E58</f>
        <v/>
      </c>
      <c r="L58">
        <f>F58</f>
        <v/>
      </c>
      <c r="M58" s="11">
        <f>I58*K58</f>
        <v/>
      </c>
      <c r="N58" s="12">
        <f>LN(G58)</f>
        <v/>
      </c>
      <c r="O58" s="12">
        <f>H58*Beta_0+I58*Beta_1+J58*Beta_2+K58*Beta_3+L58*Beta_4+M58*Beta_5</f>
        <v/>
      </c>
      <c r="P58" s="12">
        <f>N58-O58</f>
        <v/>
      </c>
      <c r="Q58" s="13">
        <f>EXP(O58)*Smearing_Factor</f>
        <v/>
      </c>
    </row>
    <row r="59">
      <c r="A59" t="n">
        <v>58</v>
      </c>
      <c r="B59" t="inlineStr">
        <is>
          <t>Information and communication technologies</t>
        </is>
      </c>
      <c r="C59" s="9" t="n">
        <v>3.51</v>
      </c>
      <c r="D59" t="n">
        <v>6</v>
      </c>
      <c r="E59" t="n">
        <v>1</v>
      </c>
      <c r="F59" t="n">
        <v>0</v>
      </c>
      <c r="G59" s="10" t="n">
        <v>3520</v>
      </c>
      <c r="H59" t="n">
        <v>1</v>
      </c>
      <c r="I59" s="11">
        <f>C59-CGPA_Mean</f>
        <v/>
      </c>
      <c r="J59">
        <f>D59</f>
        <v/>
      </c>
      <c r="K59">
        <f>E59</f>
        <v/>
      </c>
      <c r="L59">
        <f>F59</f>
        <v/>
      </c>
      <c r="M59" s="11">
        <f>I59*K59</f>
        <v/>
      </c>
      <c r="N59" s="12">
        <f>LN(G59)</f>
        <v/>
      </c>
      <c r="O59" s="12">
        <f>H59*Beta_0+I59*Beta_1+J59*Beta_2+K59*Beta_3+L59*Beta_4+M59*Beta_5</f>
        <v/>
      </c>
      <c r="P59" s="12">
        <f>N59-O59</f>
        <v/>
      </c>
      <c r="Q59" s="13">
        <f>EXP(O59)*Smearing_Factor</f>
        <v/>
      </c>
    </row>
    <row r="60">
      <c r="A60" t="n">
        <v>59</v>
      </c>
      <c r="B60" t="inlineStr">
        <is>
          <t>Engineering, manufacturing and construction</t>
        </is>
      </c>
      <c r="C60" s="9" t="n">
        <v>3.8</v>
      </c>
      <c r="D60" t="n">
        <v>3</v>
      </c>
      <c r="E60" t="n">
        <v>1</v>
      </c>
      <c r="F60" t="n">
        <v>0</v>
      </c>
      <c r="G60" s="10" t="n">
        <v>3970</v>
      </c>
      <c r="H60" t="n">
        <v>1</v>
      </c>
      <c r="I60" s="11">
        <f>C60-CGPA_Mean</f>
        <v/>
      </c>
      <c r="J60">
        <f>D60</f>
        <v/>
      </c>
      <c r="K60">
        <f>E60</f>
        <v/>
      </c>
      <c r="L60">
        <f>F60</f>
        <v/>
      </c>
      <c r="M60" s="11">
        <f>I60*K60</f>
        <v/>
      </c>
      <c r="N60" s="12">
        <f>LN(G60)</f>
        <v/>
      </c>
      <c r="O60" s="12">
        <f>H60*Beta_0+I60*Beta_1+J60*Beta_2+K60*Beta_3+L60*Beta_4+M60*Beta_5</f>
        <v/>
      </c>
      <c r="P60" s="12">
        <f>N60-O60</f>
        <v/>
      </c>
      <c r="Q60" s="13">
        <f>EXP(O60)*Smearing_Factor</f>
        <v/>
      </c>
    </row>
    <row r="61">
      <c r="A61" t="n">
        <v>60</v>
      </c>
      <c r="B61" t="inlineStr">
        <is>
          <t>Engineering, manufacturing and construction</t>
        </is>
      </c>
      <c r="C61" s="9" t="n">
        <v>3.25</v>
      </c>
      <c r="D61" t="n">
        <v>6</v>
      </c>
      <c r="E61" t="n">
        <v>1</v>
      </c>
      <c r="F61" t="n">
        <v>1</v>
      </c>
      <c r="G61" s="10" t="n">
        <v>1580</v>
      </c>
      <c r="H61" t="n">
        <v>1</v>
      </c>
      <c r="I61" s="11">
        <f>C61-CGPA_Mean</f>
        <v/>
      </c>
      <c r="J61">
        <f>D61</f>
        <v/>
      </c>
      <c r="K61">
        <f>E61</f>
        <v/>
      </c>
      <c r="L61">
        <f>F61</f>
        <v/>
      </c>
      <c r="M61" s="11">
        <f>I61*K61</f>
        <v/>
      </c>
      <c r="N61" s="12">
        <f>LN(G61)</f>
        <v/>
      </c>
      <c r="O61" s="12">
        <f>H61*Beta_0+I61*Beta_1+J61*Beta_2+K61*Beta_3+L61*Beta_4+M61*Beta_5</f>
        <v/>
      </c>
      <c r="P61" s="12">
        <f>N61-O61</f>
        <v/>
      </c>
      <c r="Q61" s="13">
        <f>EXP(O61)*Smearing_Factor</f>
        <v/>
      </c>
    </row>
    <row r="62">
      <c r="A62" t="n">
        <v>61</v>
      </c>
      <c r="B62" t="inlineStr">
        <is>
          <t>Business, administration and law</t>
        </is>
      </c>
      <c r="C62" s="9" t="n">
        <v>3.48</v>
      </c>
      <c r="D62" t="n">
        <v>3</v>
      </c>
      <c r="E62" t="n">
        <v>0</v>
      </c>
      <c r="F62" t="n">
        <v>0</v>
      </c>
      <c r="G62" s="10" t="n">
        <v>3430</v>
      </c>
      <c r="H62" t="n">
        <v>1</v>
      </c>
      <c r="I62" s="11">
        <f>C62-CGPA_Mean</f>
        <v/>
      </c>
      <c r="J62">
        <f>D62</f>
        <v/>
      </c>
      <c r="K62">
        <f>E62</f>
        <v/>
      </c>
      <c r="L62">
        <f>F62</f>
        <v/>
      </c>
      <c r="M62" s="11">
        <f>I62*K62</f>
        <v/>
      </c>
      <c r="N62" s="12">
        <f>LN(G62)</f>
        <v/>
      </c>
      <c r="O62" s="12">
        <f>H62*Beta_0+I62*Beta_1+J62*Beta_2+K62*Beta_3+L62*Beta_4+M62*Beta_5</f>
        <v/>
      </c>
      <c r="P62" s="12">
        <f>N62-O62</f>
        <v/>
      </c>
      <c r="Q62" s="13">
        <f>EXP(O62)*Smearing_Factor</f>
        <v/>
      </c>
    </row>
    <row r="63">
      <c r="A63" t="n">
        <v>62</v>
      </c>
      <c r="B63" t="inlineStr">
        <is>
          <t>Business, administration and law</t>
        </is>
      </c>
      <c r="C63" s="9" t="n">
        <v>3.02</v>
      </c>
      <c r="D63" t="n">
        <v>3</v>
      </c>
      <c r="E63" t="n">
        <v>0</v>
      </c>
      <c r="F63" t="n">
        <v>0</v>
      </c>
      <c r="G63" s="10" t="n">
        <v>2550</v>
      </c>
      <c r="H63" t="n">
        <v>1</v>
      </c>
      <c r="I63" s="11">
        <f>C63-CGPA_Mean</f>
        <v/>
      </c>
      <c r="J63">
        <f>D63</f>
        <v/>
      </c>
      <c r="K63">
        <f>E63</f>
        <v/>
      </c>
      <c r="L63">
        <f>F63</f>
        <v/>
      </c>
      <c r="M63" s="11">
        <f>I63*K63</f>
        <v/>
      </c>
      <c r="N63" s="12">
        <f>LN(G63)</f>
        <v/>
      </c>
      <c r="O63" s="12">
        <f>H63*Beta_0+I63*Beta_1+J63*Beta_2+K63*Beta_3+L63*Beta_4+M63*Beta_5</f>
        <v/>
      </c>
      <c r="P63" s="12">
        <f>N63-O63</f>
        <v/>
      </c>
      <c r="Q63" s="13">
        <f>EXP(O63)*Smearing_Factor</f>
        <v/>
      </c>
    </row>
    <row r="64">
      <c r="A64" t="n">
        <v>63</v>
      </c>
      <c r="B64" t="inlineStr">
        <is>
          <t>Business, administration and law</t>
        </is>
      </c>
      <c r="C64" s="9" t="n">
        <v>3.19</v>
      </c>
      <c r="D64" t="n">
        <v>3</v>
      </c>
      <c r="E64" t="n">
        <v>0</v>
      </c>
      <c r="F64" t="n">
        <v>0</v>
      </c>
      <c r="G64" s="10" t="n">
        <v>2720</v>
      </c>
      <c r="H64" t="n">
        <v>1</v>
      </c>
      <c r="I64" s="11">
        <f>C64-CGPA_Mean</f>
        <v/>
      </c>
      <c r="J64">
        <f>D64</f>
        <v/>
      </c>
      <c r="K64">
        <f>E64</f>
        <v/>
      </c>
      <c r="L64">
        <f>F64</f>
        <v/>
      </c>
      <c r="M64" s="11">
        <f>I64*K64</f>
        <v/>
      </c>
      <c r="N64" s="12">
        <f>LN(G64)</f>
        <v/>
      </c>
      <c r="O64" s="12">
        <f>H64*Beta_0+I64*Beta_1+J64*Beta_2+K64*Beta_3+L64*Beta_4+M64*Beta_5</f>
        <v/>
      </c>
      <c r="P64" s="12">
        <f>N64-O64</f>
        <v/>
      </c>
      <c r="Q64" s="13">
        <f>EXP(O64)*Smearing_Factor</f>
        <v/>
      </c>
    </row>
    <row r="65">
      <c r="A65" t="n">
        <v>64</v>
      </c>
      <c r="B65" t="inlineStr">
        <is>
          <t>Social sciences, journalism and information</t>
        </is>
      </c>
      <c r="C65" s="9" t="n">
        <v>3.51</v>
      </c>
      <c r="D65" t="n">
        <v>3</v>
      </c>
      <c r="E65" t="n">
        <v>0</v>
      </c>
      <c r="F65" t="n">
        <v>0</v>
      </c>
      <c r="G65" s="10" t="n">
        <v>2060</v>
      </c>
      <c r="H65" t="n">
        <v>1</v>
      </c>
      <c r="I65" s="11">
        <f>C65-CGPA_Mean</f>
        <v/>
      </c>
      <c r="J65">
        <f>D65</f>
        <v/>
      </c>
      <c r="K65">
        <f>E65</f>
        <v/>
      </c>
      <c r="L65">
        <f>F65</f>
        <v/>
      </c>
      <c r="M65" s="11">
        <f>I65*K65</f>
        <v/>
      </c>
      <c r="N65" s="12">
        <f>LN(G65)</f>
        <v/>
      </c>
      <c r="O65" s="12">
        <f>H65*Beta_0+I65*Beta_1+J65*Beta_2+K65*Beta_3+L65*Beta_4+M65*Beta_5</f>
        <v/>
      </c>
      <c r="P65" s="12">
        <f>N65-O65</f>
        <v/>
      </c>
      <c r="Q65" s="13">
        <f>EXP(O65)*Smearing_Factor</f>
        <v/>
      </c>
    </row>
    <row r="66">
      <c r="A66" t="n">
        <v>65</v>
      </c>
      <c r="B66" t="inlineStr">
        <is>
          <t>Business, administration and law</t>
        </is>
      </c>
      <c r="C66" s="9" t="n">
        <v>3.09</v>
      </c>
      <c r="D66" t="n">
        <v>3</v>
      </c>
      <c r="E66" t="n">
        <v>0</v>
      </c>
      <c r="F66" t="n">
        <v>0</v>
      </c>
      <c r="G66" s="10" t="n">
        <v>2920</v>
      </c>
      <c r="H66" t="n">
        <v>1</v>
      </c>
      <c r="I66" s="11">
        <f>C66-CGPA_Mean</f>
        <v/>
      </c>
      <c r="J66">
        <f>D66</f>
        <v/>
      </c>
      <c r="K66">
        <f>E66</f>
        <v/>
      </c>
      <c r="L66">
        <f>F66</f>
        <v/>
      </c>
      <c r="M66" s="11">
        <f>I66*K66</f>
        <v/>
      </c>
      <c r="N66" s="12">
        <f>LN(G66)</f>
        <v/>
      </c>
      <c r="O66" s="12">
        <f>H66*Beta_0+I66*Beta_1+J66*Beta_2+K66*Beta_3+L66*Beta_4+M66*Beta_5</f>
        <v/>
      </c>
      <c r="P66" s="12">
        <f>N66-O66</f>
        <v/>
      </c>
      <c r="Q66" s="13">
        <f>EXP(O66)*Smearing_Factor</f>
        <v/>
      </c>
    </row>
    <row r="67">
      <c r="A67" t="n">
        <v>66</v>
      </c>
      <c r="B67" t="inlineStr">
        <is>
          <t>Business, administration and law</t>
        </is>
      </c>
      <c r="C67" s="9" t="n">
        <v>2.97</v>
      </c>
      <c r="D67" t="n">
        <v>6</v>
      </c>
      <c r="E67" t="n">
        <v>0</v>
      </c>
      <c r="F67" t="n">
        <v>0</v>
      </c>
      <c r="G67" s="10" t="n">
        <v>1420</v>
      </c>
      <c r="H67" t="n">
        <v>1</v>
      </c>
      <c r="I67" s="11">
        <f>C67-CGPA_Mean</f>
        <v/>
      </c>
      <c r="J67">
        <f>D67</f>
        <v/>
      </c>
      <c r="K67">
        <f>E67</f>
        <v/>
      </c>
      <c r="L67">
        <f>F67</f>
        <v/>
      </c>
      <c r="M67" s="11">
        <f>I67*K67</f>
        <v/>
      </c>
      <c r="N67" s="12">
        <f>LN(G67)</f>
        <v/>
      </c>
      <c r="O67" s="12">
        <f>H67*Beta_0+I67*Beta_1+J67*Beta_2+K67*Beta_3+L67*Beta_4+M67*Beta_5</f>
        <v/>
      </c>
      <c r="P67" s="12">
        <f>N67-O67</f>
        <v/>
      </c>
      <c r="Q67" s="13">
        <f>EXP(O67)*Smearing_Factor</f>
        <v/>
      </c>
    </row>
    <row r="68">
      <c r="A68" t="n">
        <v>67</v>
      </c>
      <c r="B68" t="inlineStr">
        <is>
          <t>Information and communication technologies</t>
        </is>
      </c>
      <c r="C68" s="9" t="n">
        <v>3.07</v>
      </c>
      <c r="D68" t="n">
        <v>6</v>
      </c>
      <c r="E68" t="n">
        <v>1</v>
      </c>
      <c r="F68" t="n">
        <v>1</v>
      </c>
      <c r="G68" s="10" t="n">
        <v>3460</v>
      </c>
      <c r="H68" t="n">
        <v>1</v>
      </c>
      <c r="I68" s="11">
        <f>C68-CGPA_Mean</f>
        <v/>
      </c>
      <c r="J68">
        <f>D68</f>
        <v/>
      </c>
      <c r="K68">
        <f>E68</f>
        <v/>
      </c>
      <c r="L68">
        <f>F68</f>
        <v/>
      </c>
      <c r="M68" s="11">
        <f>I68*K68</f>
        <v/>
      </c>
      <c r="N68" s="12">
        <f>LN(G68)</f>
        <v/>
      </c>
      <c r="O68" s="12">
        <f>H68*Beta_0+I68*Beta_1+J68*Beta_2+K68*Beta_3+L68*Beta_4+M68*Beta_5</f>
        <v/>
      </c>
      <c r="P68" s="12">
        <f>N68-O68</f>
        <v/>
      </c>
      <c r="Q68" s="13">
        <f>EXP(O68)*Smearing_Factor</f>
        <v/>
      </c>
    </row>
    <row r="69">
      <c r="A69" t="n">
        <v>68</v>
      </c>
      <c r="B69" t="inlineStr">
        <is>
          <t>Business, administration and law</t>
        </is>
      </c>
      <c r="C69" s="9" t="n">
        <v>3.17</v>
      </c>
      <c r="D69" t="n">
        <v>6</v>
      </c>
      <c r="E69" t="n">
        <v>0</v>
      </c>
      <c r="F69" t="n">
        <v>0</v>
      </c>
      <c r="G69" s="10" t="n">
        <v>1190</v>
      </c>
      <c r="H69" t="n">
        <v>1</v>
      </c>
      <c r="I69" s="11">
        <f>C69-CGPA_Mean</f>
        <v/>
      </c>
      <c r="J69">
        <f>D69</f>
        <v/>
      </c>
      <c r="K69">
        <f>E69</f>
        <v/>
      </c>
      <c r="L69">
        <f>F69</f>
        <v/>
      </c>
      <c r="M69" s="11">
        <f>I69*K69</f>
        <v/>
      </c>
      <c r="N69" s="12">
        <f>LN(G69)</f>
        <v/>
      </c>
      <c r="O69" s="12">
        <f>H69*Beta_0+I69*Beta_1+J69*Beta_2+K69*Beta_3+L69*Beta_4+M69*Beta_5</f>
        <v/>
      </c>
      <c r="P69" s="12">
        <f>N69-O69</f>
        <v/>
      </c>
      <c r="Q69" s="13">
        <f>EXP(O69)*Smearing_Factor</f>
        <v/>
      </c>
    </row>
    <row r="70">
      <c r="A70" t="n">
        <v>69</v>
      </c>
      <c r="B70" t="inlineStr">
        <is>
          <t>Business, administration and law</t>
        </is>
      </c>
      <c r="C70" s="9" t="n">
        <v>2.69</v>
      </c>
      <c r="D70" t="n">
        <v>6</v>
      </c>
      <c r="E70" t="n">
        <v>0</v>
      </c>
      <c r="F70" t="n">
        <v>0</v>
      </c>
      <c r="G70" s="10" t="n">
        <v>740</v>
      </c>
      <c r="H70" t="n">
        <v>1</v>
      </c>
      <c r="I70" s="11">
        <f>C70-CGPA_Mean</f>
        <v/>
      </c>
      <c r="J70">
        <f>D70</f>
        <v/>
      </c>
      <c r="K70">
        <f>E70</f>
        <v/>
      </c>
      <c r="L70">
        <f>F70</f>
        <v/>
      </c>
      <c r="M70" s="11">
        <f>I70*K70</f>
        <v/>
      </c>
      <c r="N70" s="12">
        <f>LN(G70)</f>
        <v/>
      </c>
      <c r="O70" s="12">
        <f>H70*Beta_0+I70*Beta_1+J70*Beta_2+K70*Beta_3+L70*Beta_4+M70*Beta_5</f>
        <v/>
      </c>
      <c r="P70" s="12">
        <f>N70-O70</f>
        <v/>
      </c>
      <c r="Q70" s="13">
        <f>EXP(O70)*Smearing_Factor</f>
        <v/>
      </c>
    </row>
    <row r="71">
      <c r="A71" t="n">
        <v>70</v>
      </c>
      <c r="B71" t="inlineStr">
        <is>
          <t>Natural sciences, mathematics and statistics</t>
        </is>
      </c>
      <c r="C71" s="9" t="n">
        <v>3.92</v>
      </c>
      <c r="D71" t="n">
        <v>6</v>
      </c>
      <c r="E71" t="n">
        <v>1</v>
      </c>
      <c r="F71" t="n">
        <v>1</v>
      </c>
      <c r="G71" s="10" t="n">
        <v>3060</v>
      </c>
      <c r="H71" t="n">
        <v>1</v>
      </c>
      <c r="I71" s="11">
        <f>C71-CGPA_Mean</f>
        <v/>
      </c>
      <c r="J71">
        <f>D71</f>
        <v/>
      </c>
      <c r="K71">
        <f>E71</f>
        <v/>
      </c>
      <c r="L71">
        <f>F71</f>
        <v/>
      </c>
      <c r="M71" s="11">
        <f>I71*K71</f>
        <v/>
      </c>
      <c r="N71" s="12">
        <f>LN(G71)</f>
        <v/>
      </c>
      <c r="O71" s="12">
        <f>H71*Beta_0+I71*Beta_1+J71*Beta_2+K71*Beta_3+L71*Beta_4+M71*Beta_5</f>
        <v/>
      </c>
      <c r="P71" s="12">
        <f>N71-O71</f>
        <v/>
      </c>
      <c r="Q71" s="13">
        <f>EXP(O71)*Smearing_Factor</f>
        <v/>
      </c>
    </row>
    <row r="72">
      <c r="A72" t="n">
        <v>71</v>
      </c>
      <c r="B72" t="inlineStr">
        <is>
          <t>Engineering, manufacturing and construction</t>
        </is>
      </c>
      <c r="C72" s="9" t="n">
        <v>3.22</v>
      </c>
      <c r="D72" t="n">
        <v>6</v>
      </c>
      <c r="E72" t="n">
        <v>1</v>
      </c>
      <c r="F72" t="n">
        <v>0</v>
      </c>
      <c r="G72" s="10" t="n">
        <v>2140</v>
      </c>
      <c r="H72" t="n">
        <v>1</v>
      </c>
      <c r="I72" s="11">
        <f>C72-CGPA_Mean</f>
        <v/>
      </c>
      <c r="J72">
        <f>D72</f>
        <v/>
      </c>
      <c r="K72">
        <f>E72</f>
        <v/>
      </c>
      <c r="L72">
        <f>F72</f>
        <v/>
      </c>
      <c r="M72" s="11">
        <f>I72*K72</f>
        <v/>
      </c>
      <c r="N72" s="12">
        <f>LN(G72)</f>
        <v/>
      </c>
      <c r="O72" s="12">
        <f>H72*Beta_0+I72*Beta_1+J72*Beta_2+K72*Beta_3+L72*Beta_4+M72*Beta_5</f>
        <v/>
      </c>
      <c r="P72" s="12">
        <f>N72-O72</f>
        <v/>
      </c>
      <c r="Q72" s="13">
        <f>EXP(O72)*Smearing_Factor</f>
        <v/>
      </c>
    </row>
    <row r="73">
      <c r="A73" t="n">
        <v>72</v>
      </c>
      <c r="B73" t="inlineStr">
        <is>
          <t>Business, administration and law</t>
        </is>
      </c>
      <c r="C73" s="9" t="n">
        <v>3.28</v>
      </c>
      <c r="D73" t="n">
        <v>6</v>
      </c>
      <c r="E73" t="n">
        <v>0</v>
      </c>
      <c r="F73" t="n">
        <v>1</v>
      </c>
      <c r="G73" s="10" t="n">
        <v>730</v>
      </c>
      <c r="H73" t="n">
        <v>1</v>
      </c>
      <c r="I73" s="11">
        <f>C73-CGPA_Mean</f>
        <v/>
      </c>
      <c r="J73">
        <f>D73</f>
        <v/>
      </c>
      <c r="K73">
        <f>E73</f>
        <v/>
      </c>
      <c r="L73">
        <f>F73</f>
        <v/>
      </c>
      <c r="M73" s="11">
        <f>I73*K73</f>
        <v/>
      </c>
      <c r="N73" s="12">
        <f>LN(G73)</f>
        <v/>
      </c>
      <c r="O73" s="12">
        <f>H73*Beta_0+I73*Beta_1+J73*Beta_2+K73*Beta_3+L73*Beta_4+M73*Beta_5</f>
        <v/>
      </c>
      <c r="P73" s="12">
        <f>N73-O73</f>
        <v/>
      </c>
      <c r="Q73" s="13">
        <f>EXP(O73)*Smearing_Factor</f>
        <v/>
      </c>
    </row>
    <row r="74">
      <c r="A74" t="n">
        <v>73</v>
      </c>
      <c r="B74" t="inlineStr">
        <is>
          <t>Natural sciences, mathematics and statistics</t>
        </is>
      </c>
      <c r="C74" s="9" t="n">
        <v>3.42</v>
      </c>
      <c r="D74" t="n">
        <v>6</v>
      </c>
      <c r="E74" t="n">
        <v>1</v>
      </c>
      <c r="F74" t="n">
        <v>0</v>
      </c>
      <c r="G74" s="10" t="n">
        <v>4750</v>
      </c>
      <c r="H74" t="n">
        <v>1</v>
      </c>
      <c r="I74" s="11">
        <f>C74-CGPA_Mean</f>
        <v/>
      </c>
      <c r="J74">
        <f>D74</f>
        <v/>
      </c>
      <c r="K74">
        <f>E74</f>
        <v/>
      </c>
      <c r="L74">
        <f>F74</f>
        <v/>
      </c>
      <c r="M74" s="11">
        <f>I74*K74</f>
        <v/>
      </c>
      <c r="N74" s="12">
        <f>LN(G74)</f>
        <v/>
      </c>
      <c r="O74" s="12">
        <f>H74*Beta_0+I74*Beta_1+J74*Beta_2+K74*Beta_3+L74*Beta_4+M74*Beta_5</f>
        <v/>
      </c>
      <c r="P74" s="12">
        <f>N74-O74</f>
        <v/>
      </c>
      <c r="Q74" s="13">
        <f>EXP(O74)*Smearing_Factor</f>
        <v/>
      </c>
    </row>
    <row r="75">
      <c r="A75" t="n">
        <v>74</v>
      </c>
      <c r="B75" t="inlineStr">
        <is>
          <t>Business, administration and law</t>
        </is>
      </c>
      <c r="C75" s="9" t="n">
        <v>3.24</v>
      </c>
      <c r="D75" t="n">
        <v>6</v>
      </c>
      <c r="E75" t="n">
        <v>0</v>
      </c>
      <c r="F75" t="n">
        <v>0</v>
      </c>
      <c r="G75" s="10" t="n">
        <v>2420</v>
      </c>
      <c r="H75" t="n">
        <v>1</v>
      </c>
      <c r="I75" s="11">
        <f>C75-CGPA_Mean</f>
        <v/>
      </c>
      <c r="J75">
        <f>D75</f>
        <v/>
      </c>
      <c r="K75">
        <f>E75</f>
        <v/>
      </c>
      <c r="L75">
        <f>F75</f>
        <v/>
      </c>
      <c r="M75" s="11">
        <f>I75*K75</f>
        <v/>
      </c>
      <c r="N75" s="12">
        <f>LN(G75)</f>
        <v/>
      </c>
      <c r="O75" s="12">
        <f>H75*Beta_0+I75*Beta_1+J75*Beta_2+K75*Beta_3+L75*Beta_4+M75*Beta_5</f>
        <v/>
      </c>
      <c r="P75" s="12">
        <f>N75-O75</f>
        <v/>
      </c>
      <c r="Q75" s="13">
        <f>EXP(O75)*Smearing_Factor</f>
        <v/>
      </c>
    </row>
    <row r="76">
      <c r="A76" t="n">
        <v>75</v>
      </c>
      <c r="B76" t="inlineStr">
        <is>
          <t>Agriculture, forestry, fisheries and veterinary</t>
        </is>
      </c>
      <c r="C76" s="9" t="n">
        <v>2.68</v>
      </c>
      <c r="D76" t="n">
        <v>6</v>
      </c>
      <c r="E76" t="n">
        <v>0</v>
      </c>
      <c r="F76" t="n">
        <v>1</v>
      </c>
      <c r="G76" s="10" t="n">
        <v>1700</v>
      </c>
      <c r="H76" t="n">
        <v>1</v>
      </c>
      <c r="I76" s="11">
        <f>C76-CGPA_Mean</f>
        <v/>
      </c>
      <c r="J76">
        <f>D76</f>
        <v/>
      </c>
      <c r="K76">
        <f>E76</f>
        <v/>
      </c>
      <c r="L76">
        <f>F76</f>
        <v/>
      </c>
      <c r="M76" s="11">
        <f>I76*K76</f>
        <v/>
      </c>
      <c r="N76" s="12">
        <f>LN(G76)</f>
        <v/>
      </c>
      <c r="O76" s="12">
        <f>H76*Beta_0+I76*Beta_1+J76*Beta_2+K76*Beta_3+L76*Beta_4+M76*Beta_5</f>
        <v/>
      </c>
      <c r="P76" s="12">
        <f>N76-O76</f>
        <v/>
      </c>
      <c r="Q76" s="13">
        <f>EXP(O76)*Smearing_Factor</f>
        <v/>
      </c>
    </row>
    <row r="77">
      <c r="A77" t="n">
        <v>76</v>
      </c>
      <c r="B77" t="inlineStr">
        <is>
          <t>Business, administration and law</t>
        </is>
      </c>
      <c r="C77" s="9" t="n">
        <v>3.14</v>
      </c>
      <c r="D77" t="n">
        <v>6</v>
      </c>
      <c r="E77" t="n">
        <v>0</v>
      </c>
      <c r="F77" t="n">
        <v>1</v>
      </c>
      <c r="G77" s="10" t="n">
        <v>3220</v>
      </c>
      <c r="H77" t="n">
        <v>1</v>
      </c>
      <c r="I77" s="11">
        <f>C77-CGPA_Mean</f>
        <v/>
      </c>
      <c r="J77">
        <f>D77</f>
        <v/>
      </c>
      <c r="K77">
        <f>E77</f>
        <v/>
      </c>
      <c r="L77">
        <f>F77</f>
        <v/>
      </c>
      <c r="M77" s="11">
        <f>I77*K77</f>
        <v/>
      </c>
      <c r="N77" s="12">
        <f>LN(G77)</f>
        <v/>
      </c>
      <c r="O77" s="12">
        <f>H77*Beta_0+I77*Beta_1+J77*Beta_2+K77*Beta_3+L77*Beta_4+M77*Beta_5</f>
        <v/>
      </c>
      <c r="P77" s="12">
        <f>N77-O77</f>
        <v/>
      </c>
      <c r="Q77" s="13">
        <f>EXP(O77)*Smearing_Factor</f>
        <v/>
      </c>
    </row>
    <row r="78">
      <c r="A78" t="n">
        <v>77</v>
      </c>
      <c r="B78" t="inlineStr">
        <is>
          <t>Arts and humanities</t>
        </is>
      </c>
      <c r="C78" s="9" t="n">
        <v>3.02</v>
      </c>
      <c r="D78" t="n">
        <v>9</v>
      </c>
      <c r="E78" t="n">
        <v>0</v>
      </c>
      <c r="F78" t="n">
        <v>0</v>
      </c>
      <c r="G78" s="10" t="n">
        <v>1130</v>
      </c>
      <c r="H78" t="n">
        <v>1</v>
      </c>
      <c r="I78" s="11">
        <f>C78-CGPA_Mean</f>
        <v/>
      </c>
      <c r="J78">
        <f>D78</f>
        <v/>
      </c>
      <c r="K78">
        <f>E78</f>
        <v/>
      </c>
      <c r="L78">
        <f>F78</f>
        <v/>
      </c>
      <c r="M78" s="11">
        <f>I78*K78</f>
        <v/>
      </c>
      <c r="N78" s="12">
        <f>LN(G78)</f>
        <v/>
      </c>
      <c r="O78" s="12">
        <f>H78*Beta_0+I78*Beta_1+J78*Beta_2+K78*Beta_3+L78*Beta_4+M78*Beta_5</f>
        <v/>
      </c>
      <c r="P78" s="12">
        <f>N78-O78</f>
        <v/>
      </c>
      <c r="Q78" s="13">
        <f>EXP(O78)*Smearing_Factor</f>
        <v/>
      </c>
    </row>
    <row r="79">
      <c r="A79" t="n">
        <v>78</v>
      </c>
      <c r="B79" t="inlineStr">
        <is>
          <t>Business, administration and law</t>
        </is>
      </c>
      <c r="C79" s="9" t="n">
        <v>3.9</v>
      </c>
      <c r="D79" t="n">
        <v>6</v>
      </c>
      <c r="E79" t="n">
        <v>0</v>
      </c>
      <c r="F79" t="n">
        <v>0</v>
      </c>
      <c r="G79" s="10" t="n">
        <v>860</v>
      </c>
      <c r="H79" t="n">
        <v>1</v>
      </c>
      <c r="I79" s="11">
        <f>C79-CGPA_Mean</f>
        <v/>
      </c>
      <c r="J79">
        <f>D79</f>
        <v/>
      </c>
      <c r="K79">
        <f>E79</f>
        <v/>
      </c>
      <c r="L79">
        <f>F79</f>
        <v/>
      </c>
      <c r="M79" s="11">
        <f>I79*K79</f>
        <v/>
      </c>
      <c r="N79" s="12">
        <f>LN(G79)</f>
        <v/>
      </c>
      <c r="O79" s="12">
        <f>H79*Beta_0+I79*Beta_1+J79*Beta_2+K79*Beta_3+L79*Beta_4+M79*Beta_5</f>
        <v/>
      </c>
      <c r="P79" s="12">
        <f>N79-O79</f>
        <v/>
      </c>
      <c r="Q79" s="13">
        <f>EXP(O79)*Smearing_Factor</f>
        <v/>
      </c>
    </row>
    <row r="80">
      <c r="A80" t="n">
        <v>79</v>
      </c>
      <c r="B80" t="inlineStr">
        <is>
          <t>Arts and humanities</t>
        </is>
      </c>
      <c r="C80" s="9" t="n">
        <v>3.43</v>
      </c>
      <c r="D80" t="n">
        <v>3</v>
      </c>
      <c r="E80" t="n">
        <v>0</v>
      </c>
      <c r="F80" t="n">
        <v>1</v>
      </c>
      <c r="G80" s="10" t="n">
        <v>1280</v>
      </c>
      <c r="H80" t="n">
        <v>1</v>
      </c>
      <c r="I80" s="11">
        <f>C80-CGPA_Mean</f>
        <v/>
      </c>
      <c r="J80">
        <f>D80</f>
        <v/>
      </c>
      <c r="K80">
        <f>E80</f>
        <v/>
      </c>
      <c r="L80">
        <f>F80</f>
        <v/>
      </c>
      <c r="M80" s="11">
        <f>I80*K80</f>
        <v/>
      </c>
      <c r="N80" s="12">
        <f>LN(G80)</f>
        <v/>
      </c>
      <c r="O80" s="12">
        <f>H80*Beta_0+I80*Beta_1+J80*Beta_2+K80*Beta_3+L80*Beta_4+M80*Beta_5</f>
        <v/>
      </c>
      <c r="P80" s="12">
        <f>N80-O80</f>
        <v/>
      </c>
      <c r="Q80" s="13">
        <f>EXP(O80)*Smearing_Factor</f>
        <v/>
      </c>
    </row>
    <row r="81">
      <c r="A81" t="n">
        <v>80</v>
      </c>
      <c r="B81" t="inlineStr">
        <is>
          <t>Engineering, manufacturing and construction</t>
        </is>
      </c>
      <c r="C81" s="9" t="n">
        <v>3.86</v>
      </c>
      <c r="D81" t="n">
        <v>3</v>
      </c>
      <c r="E81" t="n">
        <v>1</v>
      </c>
      <c r="F81" t="n">
        <v>0</v>
      </c>
      <c r="G81" s="10" t="n">
        <v>3370</v>
      </c>
      <c r="H81" t="n">
        <v>1</v>
      </c>
      <c r="I81" s="11">
        <f>C81-CGPA_Mean</f>
        <v/>
      </c>
      <c r="J81">
        <f>D81</f>
        <v/>
      </c>
      <c r="K81">
        <f>E81</f>
        <v/>
      </c>
      <c r="L81">
        <f>F81</f>
        <v/>
      </c>
      <c r="M81" s="11">
        <f>I81*K81</f>
        <v/>
      </c>
      <c r="N81" s="12">
        <f>LN(G81)</f>
        <v/>
      </c>
      <c r="O81" s="12">
        <f>H81*Beta_0+I81*Beta_1+J81*Beta_2+K81*Beta_3+L81*Beta_4+M81*Beta_5</f>
        <v/>
      </c>
      <c r="P81" s="12">
        <f>N81-O81</f>
        <v/>
      </c>
      <c r="Q81" s="13">
        <f>EXP(O81)*Smearing_Factor</f>
        <v/>
      </c>
    </row>
    <row r="82">
      <c r="A82" t="n">
        <v>81</v>
      </c>
      <c r="B82" t="inlineStr">
        <is>
          <t>Business, administration and law</t>
        </is>
      </c>
      <c r="C82" s="9" t="n">
        <v>3.62</v>
      </c>
      <c r="D82" t="n">
        <v>6</v>
      </c>
      <c r="E82" t="n">
        <v>0</v>
      </c>
      <c r="F82" t="n">
        <v>1</v>
      </c>
      <c r="G82" s="10" t="n">
        <v>2440</v>
      </c>
      <c r="H82" t="n">
        <v>1</v>
      </c>
      <c r="I82" s="11">
        <f>C82-CGPA_Mean</f>
        <v/>
      </c>
      <c r="J82">
        <f>D82</f>
        <v/>
      </c>
      <c r="K82">
        <f>E82</f>
        <v/>
      </c>
      <c r="L82">
        <f>F82</f>
        <v/>
      </c>
      <c r="M82" s="11">
        <f>I82*K82</f>
        <v/>
      </c>
      <c r="N82" s="12">
        <f>LN(G82)</f>
        <v/>
      </c>
      <c r="O82" s="12">
        <f>H82*Beta_0+I82*Beta_1+J82*Beta_2+K82*Beta_3+L82*Beta_4+M82*Beta_5</f>
        <v/>
      </c>
      <c r="P82" s="12">
        <f>N82-O82</f>
        <v/>
      </c>
      <c r="Q82" s="13">
        <f>EXP(O82)*Smearing_Factor</f>
        <v/>
      </c>
    </row>
    <row r="83">
      <c r="A83" t="n">
        <v>82</v>
      </c>
      <c r="B83" t="inlineStr">
        <is>
          <t>Information and communication technologies</t>
        </is>
      </c>
      <c r="C83" s="9" t="n">
        <v>2.92</v>
      </c>
      <c r="D83" t="n">
        <v>6</v>
      </c>
      <c r="E83" t="n">
        <v>1</v>
      </c>
      <c r="F83" t="n">
        <v>1</v>
      </c>
      <c r="G83" s="10" t="n">
        <v>4660</v>
      </c>
      <c r="H83" t="n">
        <v>1</v>
      </c>
      <c r="I83" s="11">
        <f>C83-CGPA_Mean</f>
        <v/>
      </c>
      <c r="J83">
        <f>D83</f>
        <v/>
      </c>
      <c r="K83">
        <f>E83</f>
        <v/>
      </c>
      <c r="L83">
        <f>F83</f>
        <v/>
      </c>
      <c r="M83" s="11">
        <f>I83*K83</f>
        <v/>
      </c>
      <c r="N83" s="12">
        <f>LN(G83)</f>
        <v/>
      </c>
      <c r="O83" s="12">
        <f>H83*Beta_0+I83*Beta_1+J83*Beta_2+K83*Beta_3+L83*Beta_4+M83*Beta_5</f>
        <v/>
      </c>
      <c r="P83" s="12">
        <f>N83-O83</f>
        <v/>
      </c>
      <c r="Q83" s="13">
        <f>EXP(O83)*Smearing_Factor</f>
        <v/>
      </c>
    </row>
    <row r="84">
      <c r="A84" t="n">
        <v>83</v>
      </c>
      <c r="B84" t="inlineStr">
        <is>
          <t>Services</t>
        </is>
      </c>
      <c r="C84" s="9" t="n">
        <v>3.05</v>
      </c>
      <c r="D84" t="n">
        <v>6</v>
      </c>
      <c r="E84" t="n">
        <v>0</v>
      </c>
      <c r="F84" t="n">
        <v>1</v>
      </c>
      <c r="G84" s="10" t="n">
        <v>3160</v>
      </c>
      <c r="H84" t="n">
        <v>1</v>
      </c>
      <c r="I84" s="11">
        <f>C84-CGPA_Mean</f>
        <v/>
      </c>
      <c r="J84">
        <f>D84</f>
        <v/>
      </c>
      <c r="K84">
        <f>E84</f>
        <v/>
      </c>
      <c r="L84">
        <f>F84</f>
        <v/>
      </c>
      <c r="M84" s="11">
        <f>I84*K84</f>
        <v/>
      </c>
      <c r="N84" s="12">
        <f>LN(G84)</f>
        <v/>
      </c>
      <c r="O84" s="12">
        <f>H84*Beta_0+I84*Beta_1+J84*Beta_2+K84*Beta_3+L84*Beta_4+M84*Beta_5</f>
        <v/>
      </c>
      <c r="P84" s="12">
        <f>N84-O84</f>
        <v/>
      </c>
      <c r="Q84" s="13">
        <f>EXP(O84)*Smearing_Factor</f>
        <v/>
      </c>
    </row>
    <row r="85">
      <c r="A85" t="n">
        <v>84</v>
      </c>
      <c r="B85" t="inlineStr">
        <is>
          <t>Information and communication technologies</t>
        </is>
      </c>
      <c r="C85" s="9" t="n">
        <v>2.71</v>
      </c>
      <c r="D85" t="n">
        <v>9</v>
      </c>
      <c r="E85" t="n">
        <v>1</v>
      </c>
      <c r="F85" t="n">
        <v>0</v>
      </c>
      <c r="G85" s="10" t="n">
        <v>2430</v>
      </c>
      <c r="H85" t="n">
        <v>1</v>
      </c>
      <c r="I85" s="11">
        <f>C85-CGPA_Mean</f>
        <v/>
      </c>
      <c r="J85">
        <f>D85</f>
        <v/>
      </c>
      <c r="K85">
        <f>E85</f>
        <v/>
      </c>
      <c r="L85">
        <f>F85</f>
        <v/>
      </c>
      <c r="M85" s="11">
        <f>I85*K85</f>
        <v/>
      </c>
      <c r="N85" s="12">
        <f>LN(G85)</f>
        <v/>
      </c>
      <c r="O85" s="12">
        <f>H85*Beta_0+I85*Beta_1+J85*Beta_2+K85*Beta_3+L85*Beta_4+M85*Beta_5</f>
        <v/>
      </c>
      <c r="P85" s="12">
        <f>N85-O85</f>
        <v/>
      </c>
      <c r="Q85" s="13">
        <f>EXP(O85)*Smearing_Factor</f>
        <v/>
      </c>
    </row>
    <row r="86">
      <c r="A86" t="n">
        <v>85</v>
      </c>
      <c r="B86" t="inlineStr">
        <is>
          <t>Health and welfare</t>
        </is>
      </c>
      <c r="C86" s="9" t="n">
        <v>3.06</v>
      </c>
      <c r="D86" t="n">
        <v>6</v>
      </c>
      <c r="E86" t="n">
        <v>0</v>
      </c>
      <c r="F86" t="n">
        <v>0</v>
      </c>
      <c r="G86" s="10" t="n">
        <v>3530</v>
      </c>
      <c r="H86" t="n">
        <v>1</v>
      </c>
      <c r="I86" s="11">
        <f>C86-CGPA_Mean</f>
        <v/>
      </c>
      <c r="J86">
        <f>D86</f>
        <v/>
      </c>
      <c r="K86">
        <f>E86</f>
        <v/>
      </c>
      <c r="L86">
        <f>F86</f>
        <v/>
      </c>
      <c r="M86" s="11">
        <f>I86*K86</f>
        <v/>
      </c>
      <c r="N86" s="12">
        <f>LN(G86)</f>
        <v/>
      </c>
      <c r="O86" s="12">
        <f>H86*Beta_0+I86*Beta_1+J86*Beta_2+K86*Beta_3+L86*Beta_4+M86*Beta_5</f>
        <v/>
      </c>
      <c r="P86" s="12">
        <f>N86-O86</f>
        <v/>
      </c>
      <c r="Q86" s="13">
        <f>EXP(O86)*Smearing_Factor</f>
        <v/>
      </c>
    </row>
    <row r="87">
      <c r="A87" t="n">
        <v>86</v>
      </c>
      <c r="B87" t="inlineStr">
        <is>
          <t>Engineering, manufacturing and construction</t>
        </is>
      </c>
      <c r="C87" s="9" t="n">
        <v>3.25</v>
      </c>
      <c r="D87" t="n">
        <v>6</v>
      </c>
      <c r="E87" t="n">
        <v>1</v>
      </c>
      <c r="F87" t="n">
        <v>0</v>
      </c>
      <c r="G87" s="10" t="n">
        <v>2150</v>
      </c>
      <c r="H87" t="n">
        <v>1</v>
      </c>
      <c r="I87" s="11">
        <f>C87-CGPA_Mean</f>
        <v/>
      </c>
      <c r="J87">
        <f>D87</f>
        <v/>
      </c>
      <c r="K87">
        <f>E87</f>
        <v/>
      </c>
      <c r="L87">
        <f>F87</f>
        <v/>
      </c>
      <c r="M87" s="11">
        <f>I87*K87</f>
        <v/>
      </c>
      <c r="N87" s="12">
        <f>LN(G87)</f>
        <v/>
      </c>
      <c r="O87" s="12">
        <f>H87*Beta_0+I87*Beta_1+J87*Beta_2+K87*Beta_3+L87*Beta_4+M87*Beta_5</f>
        <v/>
      </c>
      <c r="P87" s="12">
        <f>N87-O87</f>
        <v/>
      </c>
      <c r="Q87" s="13">
        <f>EXP(O87)*Smearing_Factor</f>
        <v/>
      </c>
    </row>
    <row r="88">
      <c r="A88" t="n">
        <v>87</v>
      </c>
      <c r="B88" t="inlineStr">
        <is>
          <t>Engineering, manufacturing and construction</t>
        </is>
      </c>
      <c r="C88" s="9" t="n">
        <v>3.22</v>
      </c>
      <c r="D88" t="n">
        <v>6</v>
      </c>
      <c r="E88" t="n">
        <v>1</v>
      </c>
      <c r="F88" t="n">
        <v>0</v>
      </c>
      <c r="G88" s="10" t="n">
        <v>3060</v>
      </c>
      <c r="H88" t="n">
        <v>1</v>
      </c>
      <c r="I88" s="11">
        <f>C88-CGPA_Mean</f>
        <v/>
      </c>
      <c r="J88">
        <f>D88</f>
        <v/>
      </c>
      <c r="K88">
        <f>E88</f>
        <v/>
      </c>
      <c r="L88">
        <f>F88</f>
        <v/>
      </c>
      <c r="M88" s="11">
        <f>I88*K88</f>
        <v/>
      </c>
      <c r="N88" s="12">
        <f>LN(G88)</f>
        <v/>
      </c>
      <c r="O88" s="12">
        <f>H88*Beta_0+I88*Beta_1+J88*Beta_2+K88*Beta_3+L88*Beta_4+M88*Beta_5</f>
        <v/>
      </c>
      <c r="P88" s="12">
        <f>N88-O88</f>
        <v/>
      </c>
      <c r="Q88" s="13">
        <f>EXP(O88)*Smearing_Factor</f>
        <v/>
      </c>
    </row>
    <row r="89">
      <c r="A89" t="n">
        <v>88</v>
      </c>
      <c r="B89" t="inlineStr">
        <is>
          <t>Engineering, manufacturing and construction</t>
        </is>
      </c>
      <c r="C89" s="9" t="n">
        <v>3.32</v>
      </c>
      <c r="D89" t="n">
        <v>6</v>
      </c>
      <c r="E89" t="n">
        <v>1</v>
      </c>
      <c r="F89" t="n">
        <v>0</v>
      </c>
      <c r="G89" s="10" t="n">
        <v>3660</v>
      </c>
      <c r="H89" t="n">
        <v>1</v>
      </c>
      <c r="I89" s="11">
        <f>C89-CGPA_Mean</f>
        <v/>
      </c>
      <c r="J89">
        <f>D89</f>
        <v/>
      </c>
      <c r="K89">
        <f>E89</f>
        <v/>
      </c>
      <c r="L89">
        <f>F89</f>
        <v/>
      </c>
      <c r="M89" s="11">
        <f>I89*K89</f>
        <v/>
      </c>
      <c r="N89" s="12">
        <f>LN(G89)</f>
        <v/>
      </c>
      <c r="O89" s="12">
        <f>H89*Beta_0+I89*Beta_1+J89*Beta_2+K89*Beta_3+L89*Beta_4+M89*Beta_5</f>
        <v/>
      </c>
      <c r="P89" s="12">
        <f>N89-O89</f>
        <v/>
      </c>
      <c r="Q89" s="13">
        <f>EXP(O89)*Smearing_Factor</f>
        <v/>
      </c>
    </row>
    <row r="90">
      <c r="A90" t="n">
        <v>89</v>
      </c>
      <c r="B90" t="inlineStr">
        <is>
          <t>Business, administration and law</t>
        </is>
      </c>
      <c r="C90" s="9" t="n">
        <v>3.19</v>
      </c>
      <c r="D90" t="n">
        <v>3</v>
      </c>
      <c r="E90" t="n">
        <v>0</v>
      </c>
      <c r="F90" t="n">
        <v>1</v>
      </c>
      <c r="G90" s="10" t="n">
        <v>2770</v>
      </c>
      <c r="H90" t="n">
        <v>1</v>
      </c>
      <c r="I90" s="11">
        <f>C90-CGPA_Mean</f>
        <v/>
      </c>
      <c r="J90">
        <f>D90</f>
        <v/>
      </c>
      <c r="K90">
        <f>E90</f>
        <v/>
      </c>
      <c r="L90">
        <f>F90</f>
        <v/>
      </c>
      <c r="M90" s="11">
        <f>I90*K90</f>
        <v/>
      </c>
      <c r="N90" s="12">
        <f>LN(G90)</f>
        <v/>
      </c>
      <c r="O90" s="12">
        <f>H90*Beta_0+I90*Beta_1+J90*Beta_2+K90*Beta_3+L90*Beta_4+M90*Beta_5</f>
        <v/>
      </c>
      <c r="P90" s="12">
        <f>N90-O90</f>
        <v/>
      </c>
      <c r="Q90" s="13">
        <f>EXP(O90)*Smearing_Factor</f>
        <v/>
      </c>
    </row>
    <row r="91">
      <c r="A91" t="n">
        <v>90</v>
      </c>
      <c r="B91" t="inlineStr">
        <is>
          <t>Natural sciences, mathematics and statistics</t>
        </is>
      </c>
      <c r="C91" s="9" t="n">
        <v>3.22</v>
      </c>
      <c r="D91" t="n">
        <v>6</v>
      </c>
      <c r="E91" t="n">
        <v>1</v>
      </c>
      <c r="F91" t="n">
        <v>1</v>
      </c>
      <c r="G91" s="10" t="n">
        <v>3880</v>
      </c>
      <c r="H91" t="n">
        <v>1</v>
      </c>
      <c r="I91" s="11">
        <f>C91-CGPA_Mean</f>
        <v/>
      </c>
      <c r="J91">
        <f>D91</f>
        <v/>
      </c>
      <c r="K91">
        <f>E91</f>
        <v/>
      </c>
      <c r="L91">
        <f>F91</f>
        <v/>
      </c>
      <c r="M91" s="11">
        <f>I91*K91</f>
        <v/>
      </c>
      <c r="N91" s="12">
        <f>LN(G91)</f>
        <v/>
      </c>
      <c r="O91" s="12">
        <f>H91*Beta_0+I91*Beta_1+J91*Beta_2+K91*Beta_3+L91*Beta_4+M91*Beta_5</f>
        <v/>
      </c>
      <c r="P91" s="12">
        <f>N91-O91</f>
        <v/>
      </c>
      <c r="Q91" s="13">
        <f>EXP(O91)*Smearing_Factor</f>
        <v/>
      </c>
    </row>
    <row r="92">
      <c r="A92" t="n">
        <v>91</v>
      </c>
      <c r="B92" t="inlineStr">
        <is>
          <t>Business, administration and law</t>
        </is>
      </c>
      <c r="C92" s="9" t="n">
        <v>3.16</v>
      </c>
      <c r="D92" t="n">
        <v>6</v>
      </c>
      <c r="E92" t="n">
        <v>0</v>
      </c>
      <c r="F92" t="n">
        <v>0</v>
      </c>
      <c r="G92" s="10" t="n">
        <v>2740</v>
      </c>
      <c r="H92" t="n">
        <v>1</v>
      </c>
      <c r="I92" s="11">
        <f>C92-CGPA_Mean</f>
        <v/>
      </c>
      <c r="J92">
        <f>D92</f>
        <v/>
      </c>
      <c r="K92">
        <f>E92</f>
        <v/>
      </c>
      <c r="L92">
        <f>F92</f>
        <v/>
      </c>
      <c r="M92" s="11">
        <f>I92*K92</f>
        <v/>
      </c>
      <c r="N92" s="12">
        <f>LN(G92)</f>
        <v/>
      </c>
      <c r="O92" s="12">
        <f>H92*Beta_0+I92*Beta_1+J92*Beta_2+K92*Beta_3+L92*Beta_4+M92*Beta_5</f>
        <v/>
      </c>
      <c r="P92" s="12">
        <f>N92-O92</f>
        <v/>
      </c>
      <c r="Q92" s="13">
        <f>EXP(O92)*Smearing_Factor</f>
        <v/>
      </c>
    </row>
    <row r="93">
      <c r="A93" t="n">
        <v>92</v>
      </c>
      <c r="B93" t="inlineStr">
        <is>
          <t>Business, administration and law</t>
        </is>
      </c>
      <c r="C93" s="9" t="n">
        <v>3.35</v>
      </c>
      <c r="D93" t="n">
        <v>3</v>
      </c>
      <c r="E93" t="n">
        <v>0</v>
      </c>
      <c r="F93" t="n">
        <v>0</v>
      </c>
      <c r="G93" s="10" t="n">
        <v>2710</v>
      </c>
      <c r="H93" t="n">
        <v>1</v>
      </c>
      <c r="I93" s="11">
        <f>C93-CGPA_Mean</f>
        <v/>
      </c>
      <c r="J93">
        <f>D93</f>
        <v/>
      </c>
      <c r="K93">
        <f>E93</f>
        <v/>
      </c>
      <c r="L93">
        <f>F93</f>
        <v/>
      </c>
      <c r="M93" s="11">
        <f>I93*K93</f>
        <v/>
      </c>
      <c r="N93" s="12">
        <f>LN(G93)</f>
        <v/>
      </c>
      <c r="O93" s="12">
        <f>H93*Beta_0+I93*Beta_1+J93*Beta_2+K93*Beta_3+L93*Beta_4+M93*Beta_5</f>
        <v/>
      </c>
      <c r="P93" s="12">
        <f>N93-O93</f>
        <v/>
      </c>
      <c r="Q93" s="13">
        <f>EXP(O93)*Smearing_Factor</f>
        <v/>
      </c>
    </row>
    <row r="94">
      <c r="A94" t="n">
        <v>93</v>
      </c>
      <c r="B94" t="inlineStr">
        <is>
          <t>Business, administration and law</t>
        </is>
      </c>
      <c r="C94" s="9" t="n">
        <v>3.31</v>
      </c>
      <c r="D94" t="n">
        <v>9</v>
      </c>
      <c r="E94" t="n">
        <v>0</v>
      </c>
      <c r="F94" t="n">
        <v>1</v>
      </c>
      <c r="G94" s="10" t="n">
        <v>2890</v>
      </c>
      <c r="H94" t="n">
        <v>1</v>
      </c>
      <c r="I94" s="11">
        <f>C94-CGPA_Mean</f>
        <v/>
      </c>
      <c r="J94">
        <f>D94</f>
        <v/>
      </c>
      <c r="K94">
        <f>E94</f>
        <v/>
      </c>
      <c r="L94">
        <f>F94</f>
        <v/>
      </c>
      <c r="M94" s="11">
        <f>I94*K94</f>
        <v/>
      </c>
      <c r="N94" s="12">
        <f>LN(G94)</f>
        <v/>
      </c>
      <c r="O94" s="12">
        <f>H94*Beta_0+I94*Beta_1+J94*Beta_2+K94*Beta_3+L94*Beta_4+M94*Beta_5</f>
        <v/>
      </c>
      <c r="P94" s="12">
        <f>N94-O94</f>
        <v/>
      </c>
      <c r="Q94" s="13">
        <f>EXP(O94)*Smearing_Factor</f>
        <v/>
      </c>
    </row>
    <row r="95">
      <c r="A95" t="n">
        <v>94</v>
      </c>
      <c r="B95" t="inlineStr">
        <is>
          <t>Arts and humanities</t>
        </is>
      </c>
      <c r="C95" s="9" t="n">
        <v>2.74</v>
      </c>
      <c r="D95" t="n">
        <v>6</v>
      </c>
      <c r="E95" t="n">
        <v>0</v>
      </c>
      <c r="F95" t="n">
        <v>1</v>
      </c>
      <c r="G95" s="10" t="n">
        <v>1810</v>
      </c>
      <c r="H95" t="n">
        <v>1</v>
      </c>
      <c r="I95" s="11">
        <f>C95-CGPA_Mean</f>
        <v/>
      </c>
      <c r="J95">
        <f>D95</f>
        <v/>
      </c>
      <c r="K95">
        <f>E95</f>
        <v/>
      </c>
      <c r="L95">
        <f>F95</f>
        <v/>
      </c>
      <c r="M95" s="11">
        <f>I95*K95</f>
        <v/>
      </c>
      <c r="N95" s="12">
        <f>LN(G95)</f>
        <v/>
      </c>
      <c r="O95" s="12">
        <f>H95*Beta_0+I95*Beta_1+J95*Beta_2+K95*Beta_3+L95*Beta_4+M95*Beta_5</f>
        <v/>
      </c>
      <c r="P95" s="12">
        <f>N95-O95</f>
        <v/>
      </c>
      <c r="Q95" s="13">
        <f>EXP(O95)*Smearing_Factor</f>
        <v/>
      </c>
    </row>
    <row r="96">
      <c r="A96" t="n">
        <v>95</v>
      </c>
      <c r="B96" t="inlineStr">
        <is>
          <t>Health and welfare</t>
        </is>
      </c>
      <c r="C96" s="9" t="n">
        <v>3.99</v>
      </c>
      <c r="D96" t="n">
        <v>9</v>
      </c>
      <c r="E96" t="n">
        <v>0</v>
      </c>
      <c r="F96" t="n">
        <v>1</v>
      </c>
      <c r="G96" s="10" t="n">
        <v>3650</v>
      </c>
      <c r="H96" t="n">
        <v>1</v>
      </c>
      <c r="I96" s="11">
        <f>C96-CGPA_Mean</f>
        <v/>
      </c>
      <c r="J96">
        <f>D96</f>
        <v/>
      </c>
      <c r="K96">
        <f>E96</f>
        <v/>
      </c>
      <c r="L96">
        <f>F96</f>
        <v/>
      </c>
      <c r="M96" s="11">
        <f>I96*K96</f>
        <v/>
      </c>
      <c r="N96" s="12">
        <f>LN(G96)</f>
        <v/>
      </c>
      <c r="O96" s="12">
        <f>H96*Beta_0+I96*Beta_1+J96*Beta_2+K96*Beta_3+L96*Beta_4+M96*Beta_5</f>
        <v/>
      </c>
      <c r="P96" s="12">
        <f>N96-O96</f>
        <v/>
      </c>
      <c r="Q96" s="13">
        <f>EXP(O96)*Smearing_Factor</f>
        <v/>
      </c>
    </row>
    <row r="97">
      <c r="A97" t="n">
        <v>96</v>
      </c>
      <c r="B97" t="inlineStr">
        <is>
          <t>Business, administration and law</t>
        </is>
      </c>
      <c r="C97" s="9" t="n">
        <v>2.82</v>
      </c>
      <c r="D97" t="n">
        <v>6</v>
      </c>
      <c r="E97" t="n">
        <v>0</v>
      </c>
      <c r="F97" t="n">
        <v>0</v>
      </c>
      <c r="G97" s="10" t="n">
        <v>2740</v>
      </c>
      <c r="H97" t="n">
        <v>1</v>
      </c>
      <c r="I97" s="11">
        <f>C97-CGPA_Mean</f>
        <v/>
      </c>
      <c r="J97">
        <f>D97</f>
        <v/>
      </c>
      <c r="K97">
        <f>E97</f>
        <v/>
      </c>
      <c r="L97">
        <f>F97</f>
        <v/>
      </c>
      <c r="M97" s="11">
        <f>I97*K97</f>
        <v/>
      </c>
      <c r="N97" s="12">
        <f>LN(G97)</f>
        <v/>
      </c>
      <c r="O97" s="12">
        <f>H97*Beta_0+I97*Beta_1+J97*Beta_2+K97*Beta_3+L97*Beta_4+M97*Beta_5</f>
        <v/>
      </c>
      <c r="P97" s="12">
        <f>N97-O97</f>
        <v/>
      </c>
      <c r="Q97" s="13">
        <f>EXP(O97)*Smearing_Factor</f>
        <v/>
      </c>
    </row>
    <row r="98">
      <c r="A98" t="n">
        <v>97</v>
      </c>
      <c r="B98" t="inlineStr">
        <is>
          <t>Natural sciences, mathematics and statistics</t>
        </is>
      </c>
      <c r="C98" s="9" t="n">
        <v>3.53</v>
      </c>
      <c r="D98" t="n">
        <v>6</v>
      </c>
      <c r="E98" t="n">
        <v>1</v>
      </c>
      <c r="F98" t="n">
        <v>0</v>
      </c>
      <c r="G98" s="10" t="n">
        <v>1800</v>
      </c>
      <c r="H98" t="n">
        <v>1</v>
      </c>
      <c r="I98" s="11">
        <f>C98-CGPA_Mean</f>
        <v/>
      </c>
      <c r="J98">
        <f>D98</f>
        <v/>
      </c>
      <c r="K98">
        <f>E98</f>
        <v/>
      </c>
      <c r="L98">
        <f>F98</f>
        <v/>
      </c>
      <c r="M98" s="11">
        <f>I98*K98</f>
        <v/>
      </c>
      <c r="N98" s="12">
        <f>LN(G98)</f>
        <v/>
      </c>
      <c r="O98" s="12">
        <f>H98*Beta_0+I98*Beta_1+J98*Beta_2+K98*Beta_3+L98*Beta_4+M98*Beta_5</f>
        <v/>
      </c>
      <c r="P98" s="12">
        <f>N98-O98</f>
        <v/>
      </c>
      <c r="Q98" s="13">
        <f>EXP(O98)*Smearing_Factor</f>
        <v/>
      </c>
    </row>
    <row r="99">
      <c r="A99" t="n">
        <v>98</v>
      </c>
      <c r="B99" t="inlineStr">
        <is>
          <t>Engineering, manufacturing and construction</t>
        </is>
      </c>
      <c r="C99" s="9" t="n">
        <v>2.7</v>
      </c>
      <c r="D99" t="n">
        <v>6</v>
      </c>
      <c r="E99" t="n">
        <v>1</v>
      </c>
      <c r="F99" t="n">
        <v>0</v>
      </c>
      <c r="G99" s="10" t="n">
        <v>2070</v>
      </c>
      <c r="H99" t="n">
        <v>1</v>
      </c>
      <c r="I99" s="11">
        <f>C99-CGPA_Mean</f>
        <v/>
      </c>
      <c r="J99">
        <f>D99</f>
        <v/>
      </c>
      <c r="K99">
        <f>E99</f>
        <v/>
      </c>
      <c r="L99">
        <f>F99</f>
        <v/>
      </c>
      <c r="M99" s="11">
        <f>I99*K99</f>
        <v/>
      </c>
      <c r="N99" s="12">
        <f>LN(G99)</f>
        <v/>
      </c>
      <c r="O99" s="12">
        <f>H99*Beta_0+I99*Beta_1+J99*Beta_2+K99*Beta_3+L99*Beta_4+M99*Beta_5</f>
        <v/>
      </c>
      <c r="P99" s="12">
        <f>N99-O99</f>
        <v/>
      </c>
      <c r="Q99" s="13">
        <f>EXP(O99)*Smearing_Factor</f>
        <v/>
      </c>
    </row>
    <row r="100">
      <c r="A100" t="n">
        <v>99</v>
      </c>
      <c r="B100" t="inlineStr">
        <is>
          <t>Arts and humanities</t>
        </is>
      </c>
      <c r="C100" s="9" t="n">
        <v>2.77</v>
      </c>
      <c r="D100" t="n">
        <v>6</v>
      </c>
      <c r="E100" t="n">
        <v>0</v>
      </c>
      <c r="F100" t="n">
        <v>1</v>
      </c>
      <c r="G100" s="10" t="n">
        <v>2320</v>
      </c>
      <c r="H100" t="n">
        <v>1</v>
      </c>
      <c r="I100" s="11">
        <f>C100-CGPA_Mean</f>
        <v/>
      </c>
      <c r="J100">
        <f>D100</f>
        <v/>
      </c>
      <c r="K100">
        <f>E100</f>
        <v/>
      </c>
      <c r="L100">
        <f>F100</f>
        <v/>
      </c>
      <c r="M100" s="11">
        <f>I100*K100</f>
        <v/>
      </c>
      <c r="N100" s="12">
        <f>LN(G100)</f>
        <v/>
      </c>
      <c r="O100" s="12">
        <f>H100*Beta_0+I100*Beta_1+J100*Beta_2+K100*Beta_3+L100*Beta_4+M100*Beta_5</f>
        <v/>
      </c>
      <c r="P100" s="12">
        <f>N100-O100</f>
        <v/>
      </c>
      <c r="Q100" s="13">
        <f>EXP(O100)*Smearing_Factor</f>
        <v/>
      </c>
    </row>
    <row r="101">
      <c r="A101" t="n">
        <v>100</v>
      </c>
      <c r="B101" t="inlineStr">
        <is>
          <t>Engineering, manufacturing and construction</t>
        </is>
      </c>
      <c r="C101" s="9" t="n">
        <v>3.14</v>
      </c>
      <c r="D101" t="n">
        <v>6</v>
      </c>
      <c r="E101" t="n">
        <v>1</v>
      </c>
      <c r="F101" t="n">
        <v>0</v>
      </c>
      <c r="G101" s="10" t="n">
        <v>2280</v>
      </c>
      <c r="H101" t="n">
        <v>1</v>
      </c>
      <c r="I101" s="11">
        <f>C101-CGPA_Mean</f>
        <v/>
      </c>
      <c r="J101">
        <f>D101</f>
        <v/>
      </c>
      <c r="K101">
        <f>E101</f>
        <v/>
      </c>
      <c r="L101">
        <f>F101</f>
        <v/>
      </c>
      <c r="M101" s="11">
        <f>I101*K101</f>
        <v/>
      </c>
      <c r="N101" s="12">
        <f>LN(G101)</f>
        <v/>
      </c>
      <c r="O101" s="12">
        <f>H101*Beta_0+I101*Beta_1+J101*Beta_2+K101*Beta_3+L101*Beta_4+M101*Beta_5</f>
        <v/>
      </c>
      <c r="P101" s="12">
        <f>N101-O101</f>
        <v/>
      </c>
      <c r="Q101" s="13">
        <f>EXP(O101)*Smearing_Factor</f>
        <v/>
      </c>
    </row>
    <row r="102">
      <c r="A102" t="n">
        <v>101</v>
      </c>
      <c r="B102" t="inlineStr">
        <is>
          <t>Social sciences, journalism and information</t>
        </is>
      </c>
      <c r="C102" s="9" t="n">
        <v>3.7</v>
      </c>
      <c r="D102" t="n">
        <v>9</v>
      </c>
      <c r="E102" t="n">
        <v>0</v>
      </c>
      <c r="F102" t="n">
        <v>1</v>
      </c>
      <c r="G102" s="10" t="n">
        <v>4580</v>
      </c>
      <c r="H102" t="n">
        <v>1</v>
      </c>
      <c r="I102" s="11">
        <f>C102-CGPA_Mean</f>
        <v/>
      </c>
      <c r="J102">
        <f>D102</f>
        <v/>
      </c>
      <c r="K102">
        <f>E102</f>
        <v/>
      </c>
      <c r="L102">
        <f>F102</f>
        <v/>
      </c>
      <c r="M102" s="11">
        <f>I102*K102</f>
        <v/>
      </c>
      <c r="N102" s="12">
        <f>LN(G102)</f>
        <v/>
      </c>
      <c r="O102" s="12">
        <f>H102*Beta_0+I102*Beta_1+J102*Beta_2+K102*Beta_3+L102*Beta_4+M102*Beta_5</f>
        <v/>
      </c>
      <c r="P102" s="12">
        <f>N102-O102</f>
        <v/>
      </c>
      <c r="Q102" s="13">
        <f>EXP(O102)*Smearing_Factor</f>
        <v/>
      </c>
    </row>
    <row r="103">
      <c r="A103" t="n">
        <v>102</v>
      </c>
      <c r="B103" t="inlineStr">
        <is>
          <t>Arts and humanities</t>
        </is>
      </c>
      <c r="C103" s="9" t="n">
        <v>3.25</v>
      </c>
      <c r="D103" t="n">
        <v>6</v>
      </c>
      <c r="E103" t="n">
        <v>0</v>
      </c>
      <c r="F103" t="n">
        <v>0</v>
      </c>
      <c r="G103" s="10" t="n">
        <v>1350</v>
      </c>
      <c r="H103" t="n">
        <v>1</v>
      </c>
      <c r="I103" s="11">
        <f>C103-CGPA_Mean</f>
        <v/>
      </c>
      <c r="J103">
        <f>D103</f>
        <v/>
      </c>
      <c r="K103">
        <f>E103</f>
        <v/>
      </c>
      <c r="L103">
        <f>F103</f>
        <v/>
      </c>
      <c r="M103" s="11">
        <f>I103*K103</f>
        <v/>
      </c>
      <c r="N103" s="12">
        <f>LN(G103)</f>
        <v/>
      </c>
      <c r="O103" s="12">
        <f>H103*Beta_0+I103*Beta_1+J103*Beta_2+K103*Beta_3+L103*Beta_4+M103*Beta_5</f>
        <v/>
      </c>
      <c r="P103" s="12">
        <f>N103-O103</f>
        <v/>
      </c>
      <c r="Q103" s="13">
        <f>EXP(O103)*Smearing_Factor</f>
        <v/>
      </c>
    </row>
    <row r="104">
      <c r="A104" t="n">
        <v>103</v>
      </c>
      <c r="B104" t="inlineStr">
        <is>
          <t>Engineering, manufacturing and construction</t>
        </is>
      </c>
      <c r="C104" s="9" t="n">
        <v>2.36</v>
      </c>
      <c r="D104" t="n">
        <v>6</v>
      </c>
      <c r="E104" t="n">
        <v>1</v>
      </c>
      <c r="F104" t="n">
        <v>1</v>
      </c>
      <c r="G104" s="10" t="n">
        <v>1650</v>
      </c>
      <c r="H104" t="n">
        <v>1</v>
      </c>
      <c r="I104" s="11">
        <f>C104-CGPA_Mean</f>
        <v/>
      </c>
      <c r="J104">
        <f>D104</f>
        <v/>
      </c>
      <c r="K104">
        <f>E104</f>
        <v/>
      </c>
      <c r="L104">
        <f>F104</f>
        <v/>
      </c>
      <c r="M104" s="11">
        <f>I104*K104</f>
        <v/>
      </c>
      <c r="N104" s="12">
        <f>LN(G104)</f>
        <v/>
      </c>
      <c r="O104" s="12">
        <f>H104*Beta_0+I104*Beta_1+J104*Beta_2+K104*Beta_3+L104*Beta_4+M104*Beta_5</f>
        <v/>
      </c>
      <c r="P104" s="12">
        <f>N104-O104</f>
        <v/>
      </c>
      <c r="Q104" s="13">
        <f>EXP(O104)*Smearing_Factor</f>
        <v/>
      </c>
    </row>
    <row r="105">
      <c r="A105" t="n">
        <v>104</v>
      </c>
      <c r="B105" t="inlineStr">
        <is>
          <t>Natural sciences, mathematics and statistics</t>
        </is>
      </c>
      <c r="C105" s="9" t="n">
        <v>2.79</v>
      </c>
      <c r="D105" t="n">
        <v>6</v>
      </c>
      <c r="E105" t="n">
        <v>1</v>
      </c>
      <c r="F105" t="n">
        <v>1</v>
      </c>
      <c r="G105" s="10" t="n">
        <v>4480</v>
      </c>
      <c r="H105" t="n">
        <v>1</v>
      </c>
      <c r="I105" s="11">
        <f>C105-CGPA_Mean</f>
        <v/>
      </c>
      <c r="J105">
        <f>D105</f>
        <v/>
      </c>
      <c r="K105">
        <f>E105</f>
        <v/>
      </c>
      <c r="L105">
        <f>F105</f>
        <v/>
      </c>
      <c r="M105" s="11">
        <f>I105*K105</f>
        <v/>
      </c>
      <c r="N105" s="12">
        <f>LN(G105)</f>
        <v/>
      </c>
      <c r="O105" s="12">
        <f>H105*Beta_0+I105*Beta_1+J105*Beta_2+K105*Beta_3+L105*Beta_4+M105*Beta_5</f>
        <v/>
      </c>
      <c r="P105" s="12">
        <f>N105-O105</f>
        <v/>
      </c>
      <c r="Q105" s="13">
        <f>EXP(O105)*Smearing_Factor</f>
        <v/>
      </c>
    </row>
    <row r="106">
      <c r="A106" t="n">
        <v>105</v>
      </c>
      <c r="B106" t="inlineStr">
        <is>
          <t>Education</t>
        </is>
      </c>
      <c r="C106" s="9" t="n">
        <v>3.73</v>
      </c>
      <c r="D106" t="n">
        <v>6</v>
      </c>
      <c r="E106" t="n">
        <v>0</v>
      </c>
      <c r="F106" t="n">
        <v>0</v>
      </c>
      <c r="G106" s="10" t="n">
        <v>1810</v>
      </c>
      <c r="H106" t="n">
        <v>1</v>
      </c>
      <c r="I106" s="11">
        <f>C106-CGPA_Mean</f>
        <v/>
      </c>
      <c r="J106">
        <f>D106</f>
        <v/>
      </c>
      <c r="K106">
        <f>E106</f>
        <v/>
      </c>
      <c r="L106">
        <f>F106</f>
        <v/>
      </c>
      <c r="M106" s="11">
        <f>I106*K106</f>
        <v/>
      </c>
      <c r="N106" s="12">
        <f>LN(G106)</f>
        <v/>
      </c>
      <c r="O106" s="12">
        <f>H106*Beta_0+I106*Beta_1+J106*Beta_2+K106*Beta_3+L106*Beta_4+M106*Beta_5</f>
        <v/>
      </c>
      <c r="P106" s="12">
        <f>N106-O106</f>
        <v/>
      </c>
      <c r="Q106" s="13">
        <f>EXP(O106)*Smearing_Factor</f>
        <v/>
      </c>
    </row>
    <row r="107">
      <c r="A107" t="n">
        <v>106</v>
      </c>
      <c r="B107" t="inlineStr">
        <is>
          <t>Engineering, manufacturing and construction</t>
        </is>
      </c>
      <c r="C107" s="9" t="n">
        <v>3.34</v>
      </c>
      <c r="D107" t="n">
        <v>6</v>
      </c>
      <c r="E107" t="n">
        <v>1</v>
      </c>
      <c r="F107" t="n">
        <v>0</v>
      </c>
      <c r="G107" s="10" t="n">
        <v>2570</v>
      </c>
      <c r="H107" t="n">
        <v>1</v>
      </c>
      <c r="I107" s="11">
        <f>C107-CGPA_Mean</f>
        <v/>
      </c>
      <c r="J107">
        <f>D107</f>
        <v/>
      </c>
      <c r="K107">
        <f>E107</f>
        <v/>
      </c>
      <c r="L107">
        <f>F107</f>
        <v/>
      </c>
      <c r="M107" s="11">
        <f>I107*K107</f>
        <v/>
      </c>
      <c r="N107" s="12">
        <f>LN(G107)</f>
        <v/>
      </c>
      <c r="O107" s="12">
        <f>H107*Beta_0+I107*Beta_1+J107*Beta_2+K107*Beta_3+L107*Beta_4+M107*Beta_5</f>
        <v/>
      </c>
      <c r="P107" s="12">
        <f>N107-O107</f>
        <v/>
      </c>
      <c r="Q107" s="13">
        <f>EXP(O107)*Smearing_Factor</f>
        <v/>
      </c>
    </row>
    <row r="108">
      <c r="A108" t="n">
        <v>107</v>
      </c>
      <c r="B108" t="inlineStr">
        <is>
          <t>Arts and humanities</t>
        </is>
      </c>
      <c r="C108" s="9" t="n">
        <v>3.08</v>
      </c>
      <c r="D108" t="n">
        <v>6</v>
      </c>
      <c r="E108" t="n">
        <v>0</v>
      </c>
      <c r="F108" t="n">
        <v>0</v>
      </c>
      <c r="G108" s="10" t="n">
        <v>1600</v>
      </c>
      <c r="H108" t="n">
        <v>1</v>
      </c>
      <c r="I108" s="11">
        <f>C108-CGPA_Mean</f>
        <v/>
      </c>
      <c r="J108">
        <f>D108</f>
        <v/>
      </c>
      <c r="K108">
        <f>E108</f>
        <v/>
      </c>
      <c r="L108">
        <f>F108</f>
        <v/>
      </c>
      <c r="M108" s="11">
        <f>I108*K108</f>
        <v/>
      </c>
      <c r="N108" s="12">
        <f>LN(G108)</f>
        <v/>
      </c>
      <c r="O108" s="12">
        <f>H108*Beta_0+I108*Beta_1+J108*Beta_2+K108*Beta_3+L108*Beta_4+M108*Beta_5</f>
        <v/>
      </c>
      <c r="P108" s="12">
        <f>N108-O108</f>
        <v/>
      </c>
      <c r="Q108" s="13">
        <f>EXP(O108)*Smearing_Factor</f>
        <v/>
      </c>
    </row>
    <row r="109">
      <c r="A109" t="n">
        <v>108</v>
      </c>
      <c r="B109" t="inlineStr">
        <is>
          <t>Engineering, manufacturing and construction</t>
        </is>
      </c>
      <c r="C109" s="9" t="n">
        <v>3.24</v>
      </c>
      <c r="D109" t="n">
        <v>3</v>
      </c>
      <c r="E109" t="n">
        <v>1</v>
      </c>
      <c r="F109" t="n">
        <v>0</v>
      </c>
      <c r="G109" s="10" t="n">
        <v>3900</v>
      </c>
      <c r="H109" t="n">
        <v>1</v>
      </c>
      <c r="I109" s="11">
        <f>C109-CGPA_Mean</f>
        <v/>
      </c>
      <c r="J109">
        <f>D109</f>
        <v/>
      </c>
      <c r="K109">
        <f>E109</f>
        <v/>
      </c>
      <c r="L109">
        <f>F109</f>
        <v/>
      </c>
      <c r="M109" s="11">
        <f>I109*K109</f>
        <v/>
      </c>
      <c r="N109" s="12">
        <f>LN(G109)</f>
        <v/>
      </c>
      <c r="O109" s="12">
        <f>H109*Beta_0+I109*Beta_1+J109*Beta_2+K109*Beta_3+L109*Beta_4+M109*Beta_5</f>
        <v/>
      </c>
      <c r="P109" s="12">
        <f>N109-O109</f>
        <v/>
      </c>
      <c r="Q109" s="13">
        <f>EXP(O109)*Smearing_Factor</f>
        <v/>
      </c>
    </row>
    <row r="110">
      <c r="A110" t="n">
        <v>109</v>
      </c>
      <c r="B110" t="inlineStr">
        <is>
          <t>Arts and humanities</t>
        </is>
      </c>
      <c r="C110" s="9" t="n">
        <v>3.04</v>
      </c>
      <c r="D110" t="n">
        <v>6</v>
      </c>
      <c r="E110" t="n">
        <v>0</v>
      </c>
      <c r="F110" t="n">
        <v>0</v>
      </c>
      <c r="G110" s="10" t="n">
        <v>1620</v>
      </c>
      <c r="H110" t="n">
        <v>1</v>
      </c>
      <c r="I110" s="11">
        <f>C110-CGPA_Mean</f>
        <v/>
      </c>
      <c r="J110">
        <f>D110</f>
        <v/>
      </c>
      <c r="K110">
        <f>E110</f>
        <v/>
      </c>
      <c r="L110">
        <f>F110</f>
        <v/>
      </c>
      <c r="M110" s="11">
        <f>I110*K110</f>
        <v/>
      </c>
      <c r="N110" s="12">
        <f>LN(G110)</f>
        <v/>
      </c>
      <c r="O110" s="12">
        <f>H110*Beta_0+I110*Beta_1+J110*Beta_2+K110*Beta_3+L110*Beta_4+M110*Beta_5</f>
        <v/>
      </c>
      <c r="P110" s="12">
        <f>N110-O110</f>
        <v/>
      </c>
      <c r="Q110" s="13">
        <f>EXP(O110)*Smearing_Factor</f>
        <v/>
      </c>
    </row>
    <row r="111">
      <c r="A111" t="n">
        <v>110</v>
      </c>
      <c r="B111" t="inlineStr">
        <is>
          <t>Education</t>
        </is>
      </c>
      <c r="C111" s="9" t="n">
        <v>3.09</v>
      </c>
      <c r="D111" t="n">
        <v>6</v>
      </c>
      <c r="E111" t="n">
        <v>0</v>
      </c>
      <c r="F111" t="n">
        <v>0</v>
      </c>
      <c r="G111" s="10" t="n">
        <v>1870</v>
      </c>
      <c r="H111" t="n">
        <v>1</v>
      </c>
      <c r="I111" s="11">
        <f>C111-CGPA_Mean</f>
        <v/>
      </c>
      <c r="J111">
        <f>D111</f>
        <v/>
      </c>
      <c r="K111">
        <f>E111</f>
        <v/>
      </c>
      <c r="L111">
        <f>F111</f>
        <v/>
      </c>
      <c r="M111" s="11">
        <f>I111*K111</f>
        <v/>
      </c>
      <c r="N111" s="12">
        <f>LN(G111)</f>
        <v/>
      </c>
      <c r="O111" s="12">
        <f>H111*Beta_0+I111*Beta_1+J111*Beta_2+K111*Beta_3+L111*Beta_4+M111*Beta_5</f>
        <v/>
      </c>
      <c r="P111" s="12">
        <f>N111-O111</f>
        <v/>
      </c>
      <c r="Q111" s="13">
        <f>EXP(O111)*Smearing_Factor</f>
        <v/>
      </c>
    </row>
    <row r="112">
      <c r="A112" t="n">
        <v>111</v>
      </c>
      <c r="B112" t="inlineStr">
        <is>
          <t>Natural sciences, mathematics and statistics</t>
        </is>
      </c>
      <c r="C112" s="9" t="n">
        <v>3.06</v>
      </c>
      <c r="D112" t="n">
        <v>6</v>
      </c>
      <c r="E112" t="n">
        <v>1</v>
      </c>
      <c r="F112" t="n">
        <v>0</v>
      </c>
      <c r="G112" s="10" t="n">
        <v>1610</v>
      </c>
      <c r="H112" t="n">
        <v>1</v>
      </c>
      <c r="I112" s="11">
        <f>C112-CGPA_Mean</f>
        <v/>
      </c>
      <c r="J112">
        <f>D112</f>
        <v/>
      </c>
      <c r="K112">
        <f>E112</f>
        <v/>
      </c>
      <c r="L112">
        <f>F112</f>
        <v/>
      </c>
      <c r="M112" s="11">
        <f>I112*K112</f>
        <v/>
      </c>
      <c r="N112" s="12">
        <f>LN(G112)</f>
        <v/>
      </c>
      <c r="O112" s="12">
        <f>H112*Beta_0+I112*Beta_1+J112*Beta_2+K112*Beta_3+L112*Beta_4+M112*Beta_5</f>
        <v/>
      </c>
      <c r="P112" s="12">
        <f>N112-O112</f>
        <v/>
      </c>
      <c r="Q112" s="13">
        <f>EXP(O112)*Smearing_Factor</f>
        <v/>
      </c>
    </row>
    <row r="113">
      <c r="A113" t="n">
        <v>112</v>
      </c>
      <c r="B113" t="inlineStr">
        <is>
          <t>Services</t>
        </is>
      </c>
      <c r="C113" s="9" t="n">
        <v>3.73</v>
      </c>
      <c r="D113" t="n">
        <v>6</v>
      </c>
      <c r="E113" t="n">
        <v>0</v>
      </c>
      <c r="F113" t="n">
        <v>0</v>
      </c>
      <c r="G113" s="10" t="n">
        <v>2830</v>
      </c>
      <c r="H113" t="n">
        <v>1</v>
      </c>
      <c r="I113" s="11">
        <f>C113-CGPA_Mean</f>
        <v/>
      </c>
      <c r="J113">
        <f>D113</f>
        <v/>
      </c>
      <c r="K113">
        <f>E113</f>
        <v/>
      </c>
      <c r="L113">
        <f>F113</f>
        <v/>
      </c>
      <c r="M113" s="11">
        <f>I113*K113</f>
        <v/>
      </c>
      <c r="N113" s="12">
        <f>LN(G113)</f>
        <v/>
      </c>
      <c r="O113" s="12">
        <f>H113*Beta_0+I113*Beta_1+J113*Beta_2+K113*Beta_3+L113*Beta_4+M113*Beta_5</f>
        <v/>
      </c>
      <c r="P113" s="12">
        <f>N113-O113</f>
        <v/>
      </c>
      <c r="Q113" s="13">
        <f>EXP(O113)*Smearing_Factor</f>
        <v/>
      </c>
    </row>
    <row r="114">
      <c r="A114" t="n">
        <v>113</v>
      </c>
      <c r="B114" t="inlineStr">
        <is>
          <t>Business, administration and law</t>
        </is>
      </c>
      <c r="C114" s="9" t="n">
        <v>3.39</v>
      </c>
      <c r="D114" t="n">
        <v>6</v>
      </c>
      <c r="E114" t="n">
        <v>0</v>
      </c>
      <c r="F114" t="n">
        <v>1</v>
      </c>
      <c r="G114" s="10" t="n">
        <v>2510</v>
      </c>
      <c r="H114" t="n">
        <v>1</v>
      </c>
      <c r="I114" s="11">
        <f>C114-CGPA_Mean</f>
        <v/>
      </c>
      <c r="J114">
        <f>D114</f>
        <v/>
      </c>
      <c r="K114">
        <f>E114</f>
        <v/>
      </c>
      <c r="L114">
        <f>F114</f>
        <v/>
      </c>
      <c r="M114" s="11">
        <f>I114*K114</f>
        <v/>
      </c>
      <c r="N114" s="12">
        <f>LN(G114)</f>
        <v/>
      </c>
      <c r="O114" s="12">
        <f>H114*Beta_0+I114*Beta_1+J114*Beta_2+K114*Beta_3+L114*Beta_4+M114*Beta_5</f>
        <v/>
      </c>
      <c r="P114" s="12">
        <f>N114-O114</f>
        <v/>
      </c>
      <c r="Q114" s="13">
        <f>EXP(O114)*Smearing_Factor</f>
        <v/>
      </c>
    </row>
    <row r="115">
      <c r="A115" t="n">
        <v>114</v>
      </c>
      <c r="B115" t="inlineStr">
        <is>
          <t>Agriculture, forestry, fisheries and veterinary</t>
        </is>
      </c>
      <c r="C115" s="9" t="n">
        <v>3.18</v>
      </c>
      <c r="D115" t="n">
        <v>6</v>
      </c>
      <c r="E115" t="n">
        <v>0</v>
      </c>
      <c r="F115" t="n">
        <v>0</v>
      </c>
      <c r="G115" s="10" t="n">
        <v>2340</v>
      </c>
      <c r="H115" t="n">
        <v>1</v>
      </c>
      <c r="I115" s="11">
        <f>C115-CGPA_Mean</f>
        <v/>
      </c>
      <c r="J115">
        <f>D115</f>
        <v/>
      </c>
      <c r="K115">
        <f>E115</f>
        <v/>
      </c>
      <c r="L115">
        <f>F115</f>
        <v/>
      </c>
      <c r="M115" s="11">
        <f>I115*K115</f>
        <v/>
      </c>
      <c r="N115" s="12">
        <f>LN(G115)</f>
        <v/>
      </c>
      <c r="O115" s="12">
        <f>H115*Beta_0+I115*Beta_1+J115*Beta_2+K115*Beta_3+L115*Beta_4+M115*Beta_5</f>
        <v/>
      </c>
      <c r="P115" s="12">
        <f>N115-O115</f>
        <v/>
      </c>
      <c r="Q115" s="13">
        <f>EXP(O115)*Smearing_Factor</f>
        <v/>
      </c>
    </row>
    <row r="116">
      <c r="A116" t="n">
        <v>115</v>
      </c>
      <c r="B116" t="inlineStr">
        <is>
          <t>Engineering, manufacturing and construction</t>
        </is>
      </c>
      <c r="C116" s="9" t="n">
        <v>3.19</v>
      </c>
      <c r="D116" t="n">
        <v>6</v>
      </c>
      <c r="E116" t="n">
        <v>1</v>
      </c>
      <c r="F116" t="n">
        <v>0</v>
      </c>
      <c r="G116" s="10" t="n">
        <v>2170</v>
      </c>
      <c r="H116" t="n">
        <v>1</v>
      </c>
      <c r="I116" s="11">
        <f>C116-CGPA_Mean</f>
        <v/>
      </c>
      <c r="J116">
        <f>D116</f>
        <v/>
      </c>
      <c r="K116">
        <f>E116</f>
        <v/>
      </c>
      <c r="L116">
        <f>F116</f>
        <v/>
      </c>
      <c r="M116" s="11">
        <f>I116*K116</f>
        <v/>
      </c>
      <c r="N116" s="12">
        <f>LN(G116)</f>
        <v/>
      </c>
      <c r="O116" s="12">
        <f>H116*Beta_0+I116*Beta_1+J116*Beta_2+K116*Beta_3+L116*Beta_4+M116*Beta_5</f>
        <v/>
      </c>
      <c r="P116" s="12">
        <f>N116-O116</f>
        <v/>
      </c>
      <c r="Q116" s="13">
        <f>EXP(O116)*Smearing_Factor</f>
        <v/>
      </c>
    </row>
    <row r="117">
      <c r="A117" t="n">
        <v>116</v>
      </c>
      <c r="B117" t="inlineStr">
        <is>
          <t>Business, administration and law</t>
        </is>
      </c>
      <c r="C117" s="9" t="n">
        <v>3.18</v>
      </c>
      <c r="D117" t="n">
        <v>6</v>
      </c>
      <c r="E117" t="n">
        <v>0</v>
      </c>
      <c r="F117" t="n">
        <v>1</v>
      </c>
      <c r="G117" s="10" t="n">
        <v>3990</v>
      </c>
      <c r="H117" t="n">
        <v>1</v>
      </c>
      <c r="I117" s="11">
        <f>C117-CGPA_Mean</f>
        <v/>
      </c>
      <c r="J117">
        <f>D117</f>
        <v/>
      </c>
      <c r="K117">
        <f>E117</f>
        <v/>
      </c>
      <c r="L117">
        <f>F117</f>
        <v/>
      </c>
      <c r="M117" s="11">
        <f>I117*K117</f>
        <v/>
      </c>
      <c r="N117" s="12">
        <f>LN(G117)</f>
        <v/>
      </c>
      <c r="O117" s="12">
        <f>H117*Beta_0+I117*Beta_1+J117*Beta_2+K117*Beta_3+L117*Beta_4+M117*Beta_5</f>
        <v/>
      </c>
      <c r="P117" s="12">
        <f>N117-O117</f>
        <v/>
      </c>
      <c r="Q117" s="13">
        <f>EXP(O117)*Smearing_Factor</f>
        <v/>
      </c>
    </row>
    <row r="118">
      <c r="A118" t="n">
        <v>117</v>
      </c>
      <c r="B118" t="inlineStr">
        <is>
          <t>Business, administration and law</t>
        </is>
      </c>
      <c r="C118" s="9" t="n">
        <v>3.23</v>
      </c>
      <c r="D118" t="n">
        <v>6</v>
      </c>
      <c r="E118" t="n">
        <v>0</v>
      </c>
      <c r="F118" t="n">
        <v>1</v>
      </c>
      <c r="G118" s="10" t="n">
        <v>4530</v>
      </c>
      <c r="H118" t="n">
        <v>1</v>
      </c>
      <c r="I118" s="11">
        <f>C118-CGPA_Mean</f>
        <v/>
      </c>
      <c r="J118">
        <f>D118</f>
        <v/>
      </c>
      <c r="K118">
        <f>E118</f>
        <v/>
      </c>
      <c r="L118">
        <f>F118</f>
        <v/>
      </c>
      <c r="M118" s="11">
        <f>I118*K118</f>
        <v/>
      </c>
      <c r="N118" s="12">
        <f>LN(G118)</f>
        <v/>
      </c>
      <c r="O118" s="12">
        <f>H118*Beta_0+I118*Beta_1+J118*Beta_2+K118*Beta_3+L118*Beta_4+M118*Beta_5</f>
        <v/>
      </c>
      <c r="P118" s="12">
        <f>N118-O118</f>
        <v/>
      </c>
      <c r="Q118" s="13">
        <f>EXP(O118)*Smearing_Factor</f>
        <v/>
      </c>
    </row>
    <row r="119">
      <c r="A119" t="n">
        <v>118</v>
      </c>
      <c r="B119" t="inlineStr">
        <is>
          <t>Business, administration and law</t>
        </is>
      </c>
      <c r="C119" s="9" t="n">
        <v>3.16</v>
      </c>
      <c r="D119" t="n">
        <v>6</v>
      </c>
      <c r="E119" t="n">
        <v>0</v>
      </c>
      <c r="F119" t="n">
        <v>1</v>
      </c>
      <c r="G119" s="10" t="n">
        <v>3510</v>
      </c>
      <c r="H119" t="n">
        <v>1</v>
      </c>
      <c r="I119" s="11">
        <f>C119-CGPA_Mean</f>
        <v/>
      </c>
      <c r="J119">
        <f>D119</f>
        <v/>
      </c>
      <c r="K119">
        <f>E119</f>
        <v/>
      </c>
      <c r="L119">
        <f>F119</f>
        <v/>
      </c>
      <c r="M119" s="11">
        <f>I119*K119</f>
        <v/>
      </c>
      <c r="N119" s="12">
        <f>LN(G119)</f>
        <v/>
      </c>
      <c r="O119" s="12">
        <f>H119*Beta_0+I119*Beta_1+J119*Beta_2+K119*Beta_3+L119*Beta_4+M119*Beta_5</f>
        <v/>
      </c>
      <c r="P119" s="12">
        <f>N119-O119</f>
        <v/>
      </c>
      <c r="Q119" s="13">
        <f>EXP(O119)*Smearing_Factor</f>
        <v/>
      </c>
    </row>
    <row r="120">
      <c r="A120" t="n">
        <v>119</v>
      </c>
      <c r="B120" t="inlineStr">
        <is>
          <t>Business, administration and law</t>
        </is>
      </c>
      <c r="C120" s="9" t="n">
        <v>2.94</v>
      </c>
      <c r="D120" t="n">
        <v>6</v>
      </c>
      <c r="E120" t="n">
        <v>0</v>
      </c>
      <c r="F120" t="n">
        <v>0</v>
      </c>
      <c r="G120" s="10" t="n">
        <v>2340</v>
      </c>
      <c r="H120" t="n">
        <v>1</v>
      </c>
      <c r="I120" s="11">
        <f>C120-CGPA_Mean</f>
        <v/>
      </c>
      <c r="J120">
        <f>D120</f>
        <v/>
      </c>
      <c r="K120">
        <f>E120</f>
        <v/>
      </c>
      <c r="L120">
        <f>F120</f>
        <v/>
      </c>
      <c r="M120" s="11">
        <f>I120*K120</f>
        <v/>
      </c>
      <c r="N120" s="12">
        <f>LN(G120)</f>
        <v/>
      </c>
      <c r="O120" s="12">
        <f>H120*Beta_0+I120*Beta_1+J120*Beta_2+K120*Beta_3+L120*Beta_4+M120*Beta_5</f>
        <v/>
      </c>
      <c r="P120" s="12">
        <f>N120-O120</f>
        <v/>
      </c>
      <c r="Q120" s="13">
        <f>EXP(O120)*Smearing_Factor</f>
        <v/>
      </c>
    </row>
    <row r="121">
      <c r="A121" t="n">
        <v>120</v>
      </c>
      <c r="B121" t="inlineStr">
        <is>
          <t>Business, administration and law</t>
        </is>
      </c>
      <c r="C121" s="9" t="n">
        <v>3.43</v>
      </c>
      <c r="D121" t="n">
        <v>6</v>
      </c>
      <c r="E121" t="n">
        <v>0</v>
      </c>
      <c r="F121" t="n">
        <v>0</v>
      </c>
      <c r="G121" s="10" t="n">
        <v>2100</v>
      </c>
      <c r="H121" t="n">
        <v>1</v>
      </c>
      <c r="I121" s="11">
        <f>C121-CGPA_Mean</f>
        <v/>
      </c>
      <c r="J121">
        <f>D121</f>
        <v/>
      </c>
      <c r="K121">
        <f>E121</f>
        <v/>
      </c>
      <c r="L121">
        <f>F121</f>
        <v/>
      </c>
      <c r="M121" s="11">
        <f>I121*K121</f>
        <v/>
      </c>
      <c r="N121" s="12">
        <f>LN(G121)</f>
        <v/>
      </c>
      <c r="O121" s="12">
        <f>H121*Beta_0+I121*Beta_1+J121*Beta_2+K121*Beta_3+L121*Beta_4+M121*Beta_5</f>
        <v/>
      </c>
      <c r="P121" s="12">
        <f>N121-O121</f>
        <v/>
      </c>
      <c r="Q121" s="13">
        <f>EXP(O121)*Smearing_Factor</f>
        <v/>
      </c>
    </row>
    <row r="122">
      <c r="A122" t="n">
        <v>121</v>
      </c>
      <c r="B122" t="inlineStr">
        <is>
          <t>Engineering, manufacturing and construction</t>
        </is>
      </c>
      <c r="C122" s="9" t="n">
        <v>3.68</v>
      </c>
      <c r="D122" t="n">
        <v>9</v>
      </c>
      <c r="E122" t="n">
        <v>1</v>
      </c>
      <c r="F122" t="n">
        <v>0</v>
      </c>
      <c r="G122" s="10" t="n">
        <v>7840</v>
      </c>
      <c r="H122" t="n">
        <v>1</v>
      </c>
      <c r="I122" s="11">
        <f>C122-CGPA_Mean</f>
        <v/>
      </c>
      <c r="J122">
        <f>D122</f>
        <v/>
      </c>
      <c r="K122">
        <f>E122</f>
        <v/>
      </c>
      <c r="L122">
        <f>F122</f>
        <v/>
      </c>
      <c r="M122" s="11">
        <f>I122*K122</f>
        <v/>
      </c>
      <c r="N122" s="12">
        <f>LN(G122)</f>
        <v/>
      </c>
      <c r="O122" s="12">
        <f>H122*Beta_0+I122*Beta_1+J122*Beta_2+K122*Beta_3+L122*Beta_4+M122*Beta_5</f>
        <v/>
      </c>
      <c r="P122" s="12">
        <f>N122-O122</f>
        <v/>
      </c>
      <c r="Q122" s="13">
        <f>EXP(O122)*Smearing_Factor</f>
        <v/>
      </c>
    </row>
    <row r="123">
      <c r="A123" t="n">
        <v>122</v>
      </c>
      <c r="B123" t="inlineStr">
        <is>
          <t>Information and communication technologies</t>
        </is>
      </c>
      <c r="C123" s="9" t="n">
        <v>3.9</v>
      </c>
      <c r="D123" t="n">
        <v>6</v>
      </c>
      <c r="E123" t="n">
        <v>1</v>
      </c>
      <c r="F123" t="n">
        <v>1</v>
      </c>
      <c r="G123" s="10" t="n">
        <v>4620</v>
      </c>
      <c r="H123" t="n">
        <v>1</v>
      </c>
      <c r="I123" s="11">
        <f>C123-CGPA_Mean</f>
        <v/>
      </c>
      <c r="J123">
        <f>D123</f>
        <v/>
      </c>
      <c r="K123">
        <f>E123</f>
        <v/>
      </c>
      <c r="L123">
        <f>F123</f>
        <v/>
      </c>
      <c r="M123" s="11">
        <f>I123*K123</f>
        <v/>
      </c>
      <c r="N123" s="12">
        <f>LN(G123)</f>
        <v/>
      </c>
      <c r="O123" s="12">
        <f>H123*Beta_0+I123*Beta_1+J123*Beta_2+K123*Beta_3+L123*Beta_4+M123*Beta_5</f>
        <v/>
      </c>
      <c r="P123" s="12">
        <f>N123-O123</f>
        <v/>
      </c>
      <c r="Q123" s="13">
        <f>EXP(O123)*Smearing_Factor</f>
        <v/>
      </c>
    </row>
    <row r="124">
      <c r="A124" t="n">
        <v>123</v>
      </c>
      <c r="B124" t="inlineStr">
        <is>
          <t>Education</t>
        </is>
      </c>
      <c r="C124" s="9" t="n">
        <v>3.35</v>
      </c>
      <c r="D124" t="n">
        <v>3</v>
      </c>
      <c r="E124" t="n">
        <v>0</v>
      </c>
      <c r="F124" t="n">
        <v>0</v>
      </c>
      <c r="G124" s="10" t="n">
        <v>600</v>
      </c>
      <c r="H124" t="n">
        <v>1</v>
      </c>
      <c r="I124" s="11">
        <f>C124-CGPA_Mean</f>
        <v/>
      </c>
      <c r="J124">
        <f>D124</f>
        <v/>
      </c>
      <c r="K124">
        <f>E124</f>
        <v/>
      </c>
      <c r="L124">
        <f>F124</f>
        <v/>
      </c>
      <c r="M124" s="11">
        <f>I124*K124</f>
        <v/>
      </c>
      <c r="N124" s="12">
        <f>LN(G124)</f>
        <v/>
      </c>
      <c r="O124" s="12">
        <f>H124*Beta_0+I124*Beta_1+J124*Beta_2+K124*Beta_3+L124*Beta_4+M124*Beta_5</f>
        <v/>
      </c>
      <c r="P124" s="12">
        <f>N124-O124</f>
        <v/>
      </c>
      <c r="Q124" s="13">
        <f>EXP(O124)*Smearing_Factor</f>
        <v/>
      </c>
    </row>
    <row r="125">
      <c r="A125" t="n">
        <v>124</v>
      </c>
      <c r="B125" t="inlineStr">
        <is>
          <t>Information and communication technologies</t>
        </is>
      </c>
      <c r="C125" s="9" t="n">
        <v>3.63</v>
      </c>
      <c r="D125" t="n">
        <v>6</v>
      </c>
      <c r="E125" t="n">
        <v>1</v>
      </c>
      <c r="F125" t="n">
        <v>1</v>
      </c>
      <c r="G125" s="10" t="n">
        <v>3220</v>
      </c>
      <c r="H125" t="n">
        <v>1</v>
      </c>
      <c r="I125" s="11">
        <f>C125-CGPA_Mean</f>
        <v/>
      </c>
      <c r="J125">
        <f>D125</f>
        <v/>
      </c>
      <c r="K125">
        <f>E125</f>
        <v/>
      </c>
      <c r="L125">
        <f>F125</f>
        <v/>
      </c>
      <c r="M125" s="11">
        <f>I125*K125</f>
        <v/>
      </c>
      <c r="N125" s="12">
        <f>LN(G125)</f>
        <v/>
      </c>
      <c r="O125" s="12">
        <f>H125*Beta_0+I125*Beta_1+J125*Beta_2+K125*Beta_3+L125*Beta_4+M125*Beta_5</f>
        <v/>
      </c>
      <c r="P125" s="12">
        <f>N125-O125</f>
        <v/>
      </c>
      <c r="Q125" s="13">
        <f>EXP(O125)*Smearing_Factor</f>
        <v/>
      </c>
    </row>
    <row r="126">
      <c r="A126" t="n">
        <v>125</v>
      </c>
      <c r="B126" t="inlineStr">
        <is>
          <t>Services</t>
        </is>
      </c>
      <c r="C126" s="9" t="n">
        <v>3.57</v>
      </c>
      <c r="D126" t="n">
        <v>9</v>
      </c>
      <c r="E126" t="n">
        <v>0</v>
      </c>
      <c r="F126" t="n">
        <v>0</v>
      </c>
      <c r="G126" s="10" t="n">
        <v>2470</v>
      </c>
      <c r="H126" t="n">
        <v>1</v>
      </c>
      <c r="I126" s="11">
        <f>C126-CGPA_Mean</f>
        <v/>
      </c>
      <c r="J126">
        <f>D126</f>
        <v/>
      </c>
      <c r="K126">
        <f>E126</f>
        <v/>
      </c>
      <c r="L126">
        <f>F126</f>
        <v/>
      </c>
      <c r="M126" s="11">
        <f>I126*K126</f>
        <v/>
      </c>
      <c r="N126" s="12">
        <f>LN(G126)</f>
        <v/>
      </c>
      <c r="O126" s="12">
        <f>H126*Beta_0+I126*Beta_1+J126*Beta_2+K126*Beta_3+L126*Beta_4+M126*Beta_5</f>
        <v/>
      </c>
      <c r="P126" s="12">
        <f>N126-O126</f>
        <v/>
      </c>
      <c r="Q126" s="13">
        <f>EXP(O126)*Smearing_Factor</f>
        <v/>
      </c>
    </row>
    <row r="127">
      <c r="A127" t="n">
        <v>126</v>
      </c>
      <c r="B127" t="inlineStr">
        <is>
          <t>Health and welfare</t>
        </is>
      </c>
      <c r="C127" s="9" t="n">
        <v>3.13</v>
      </c>
      <c r="D127" t="n">
        <v>6</v>
      </c>
      <c r="E127" t="n">
        <v>0</v>
      </c>
      <c r="F127" t="n">
        <v>1</v>
      </c>
      <c r="G127" s="10" t="n">
        <v>4850</v>
      </c>
      <c r="H127" t="n">
        <v>1</v>
      </c>
      <c r="I127" s="11">
        <f>C127-CGPA_Mean</f>
        <v/>
      </c>
      <c r="J127">
        <f>D127</f>
        <v/>
      </c>
      <c r="K127">
        <f>E127</f>
        <v/>
      </c>
      <c r="L127">
        <f>F127</f>
        <v/>
      </c>
      <c r="M127" s="11">
        <f>I127*K127</f>
        <v/>
      </c>
      <c r="N127" s="12">
        <f>LN(G127)</f>
        <v/>
      </c>
      <c r="O127" s="12">
        <f>H127*Beta_0+I127*Beta_1+J127*Beta_2+K127*Beta_3+L127*Beta_4+M127*Beta_5</f>
        <v/>
      </c>
      <c r="P127" s="12">
        <f>N127-O127</f>
        <v/>
      </c>
      <c r="Q127" s="13">
        <f>EXP(O127)*Smearing_Factor</f>
        <v/>
      </c>
    </row>
    <row r="128">
      <c r="A128" t="n">
        <v>127</v>
      </c>
      <c r="B128" t="inlineStr">
        <is>
          <t>Engineering, manufacturing and construction</t>
        </is>
      </c>
      <c r="C128" s="9" t="n">
        <v>2.66</v>
      </c>
      <c r="D128" t="n">
        <v>6</v>
      </c>
      <c r="E128" t="n">
        <v>1</v>
      </c>
      <c r="F128" t="n">
        <v>0</v>
      </c>
      <c r="G128" s="10" t="n">
        <v>2710</v>
      </c>
      <c r="H128" t="n">
        <v>1</v>
      </c>
      <c r="I128" s="11">
        <f>C128-CGPA_Mean</f>
        <v/>
      </c>
      <c r="J128">
        <f>D128</f>
        <v/>
      </c>
      <c r="K128">
        <f>E128</f>
        <v/>
      </c>
      <c r="L128">
        <f>F128</f>
        <v/>
      </c>
      <c r="M128" s="11">
        <f>I128*K128</f>
        <v/>
      </c>
      <c r="N128" s="12">
        <f>LN(G128)</f>
        <v/>
      </c>
      <c r="O128" s="12">
        <f>H128*Beta_0+I128*Beta_1+J128*Beta_2+K128*Beta_3+L128*Beta_4+M128*Beta_5</f>
        <v/>
      </c>
      <c r="P128" s="12">
        <f>N128-O128</f>
        <v/>
      </c>
      <c r="Q128" s="13">
        <f>EXP(O128)*Smearing_Factor</f>
        <v/>
      </c>
    </row>
    <row r="129">
      <c r="A129" t="n">
        <v>128</v>
      </c>
      <c r="B129" t="inlineStr">
        <is>
          <t>Services</t>
        </is>
      </c>
      <c r="C129" s="9" t="n">
        <v>3.26</v>
      </c>
      <c r="D129" t="n">
        <v>3</v>
      </c>
      <c r="E129" t="n">
        <v>0</v>
      </c>
      <c r="F129" t="n">
        <v>1</v>
      </c>
      <c r="G129" s="10" t="n">
        <v>2670</v>
      </c>
      <c r="H129" t="n">
        <v>1</v>
      </c>
      <c r="I129" s="11">
        <f>C129-CGPA_Mean</f>
        <v/>
      </c>
      <c r="J129">
        <f>D129</f>
        <v/>
      </c>
      <c r="K129">
        <f>E129</f>
        <v/>
      </c>
      <c r="L129">
        <f>F129</f>
        <v/>
      </c>
      <c r="M129" s="11">
        <f>I129*K129</f>
        <v/>
      </c>
      <c r="N129" s="12">
        <f>LN(G129)</f>
        <v/>
      </c>
      <c r="O129" s="12">
        <f>H129*Beta_0+I129*Beta_1+J129*Beta_2+K129*Beta_3+L129*Beta_4+M129*Beta_5</f>
        <v/>
      </c>
      <c r="P129" s="12">
        <f>N129-O129</f>
        <v/>
      </c>
      <c r="Q129" s="13">
        <f>EXP(O129)*Smearing_Factor</f>
        <v/>
      </c>
    </row>
    <row r="130">
      <c r="A130" t="n">
        <v>129</v>
      </c>
      <c r="B130" t="inlineStr">
        <is>
          <t>Social sciences, journalism and information</t>
        </is>
      </c>
      <c r="C130" s="9" t="n">
        <v>3.37</v>
      </c>
      <c r="D130" t="n">
        <v>6</v>
      </c>
      <c r="E130" t="n">
        <v>0</v>
      </c>
      <c r="F130" t="n">
        <v>1</v>
      </c>
      <c r="G130" s="10" t="n">
        <v>3730</v>
      </c>
      <c r="H130" t="n">
        <v>1</v>
      </c>
      <c r="I130" s="11">
        <f>C130-CGPA_Mean</f>
        <v/>
      </c>
      <c r="J130">
        <f>D130</f>
        <v/>
      </c>
      <c r="K130">
        <f>E130</f>
        <v/>
      </c>
      <c r="L130">
        <f>F130</f>
        <v/>
      </c>
      <c r="M130" s="11">
        <f>I130*K130</f>
        <v/>
      </c>
      <c r="N130" s="12">
        <f>LN(G130)</f>
        <v/>
      </c>
      <c r="O130" s="12">
        <f>H130*Beta_0+I130*Beta_1+J130*Beta_2+K130*Beta_3+L130*Beta_4+M130*Beta_5</f>
        <v/>
      </c>
      <c r="P130" s="12">
        <f>N130-O130</f>
        <v/>
      </c>
      <c r="Q130" s="13">
        <f>EXP(O130)*Smearing_Factor</f>
        <v/>
      </c>
    </row>
    <row r="131">
      <c r="A131" t="n">
        <v>130</v>
      </c>
      <c r="B131" t="inlineStr">
        <is>
          <t>Health and welfare</t>
        </is>
      </c>
      <c r="C131" s="9" t="n">
        <v>3.03</v>
      </c>
      <c r="D131" t="n">
        <v>6</v>
      </c>
      <c r="E131" t="n">
        <v>0</v>
      </c>
      <c r="F131" t="n">
        <v>0</v>
      </c>
      <c r="G131" s="10" t="n">
        <v>2060</v>
      </c>
      <c r="H131" t="n">
        <v>1</v>
      </c>
      <c r="I131" s="11">
        <f>C131-CGPA_Mean</f>
        <v/>
      </c>
      <c r="J131">
        <f>D131</f>
        <v/>
      </c>
      <c r="K131">
        <f>E131</f>
        <v/>
      </c>
      <c r="L131">
        <f>F131</f>
        <v/>
      </c>
      <c r="M131" s="11">
        <f>I131*K131</f>
        <v/>
      </c>
      <c r="N131" s="12">
        <f>LN(G131)</f>
        <v/>
      </c>
      <c r="O131" s="12">
        <f>H131*Beta_0+I131*Beta_1+J131*Beta_2+K131*Beta_3+L131*Beta_4+M131*Beta_5</f>
        <v/>
      </c>
      <c r="P131" s="12">
        <f>N131-O131</f>
        <v/>
      </c>
      <c r="Q131" s="13">
        <f>EXP(O131)*Smearing_Factor</f>
        <v/>
      </c>
    </row>
    <row r="132">
      <c r="A132" t="n">
        <v>131</v>
      </c>
      <c r="B132" t="inlineStr">
        <is>
          <t>Business, administration and law</t>
        </is>
      </c>
      <c r="C132" s="9" t="n">
        <v>3.18</v>
      </c>
      <c r="D132" t="n">
        <v>6</v>
      </c>
      <c r="E132" t="n">
        <v>0</v>
      </c>
      <c r="F132" t="n">
        <v>1</v>
      </c>
      <c r="G132" s="10" t="n">
        <v>540</v>
      </c>
      <c r="H132" t="n">
        <v>1</v>
      </c>
      <c r="I132" s="11">
        <f>C132-CGPA_Mean</f>
        <v/>
      </c>
      <c r="J132">
        <f>D132</f>
        <v/>
      </c>
      <c r="K132">
        <f>E132</f>
        <v/>
      </c>
      <c r="L132">
        <f>F132</f>
        <v/>
      </c>
      <c r="M132" s="11">
        <f>I132*K132</f>
        <v/>
      </c>
      <c r="N132" s="12">
        <f>LN(G132)</f>
        <v/>
      </c>
      <c r="O132" s="12">
        <f>H132*Beta_0+I132*Beta_1+J132*Beta_2+K132*Beta_3+L132*Beta_4+M132*Beta_5</f>
        <v/>
      </c>
      <c r="P132" s="12">
        <f>N132-O132</f>
        <v/>
      </c>
      <c r="Q132" s="13">
        <f>EXP(O132)*Smearing_Factor</f>
        <v/>
      </c>
    </row>
    <row r="133">
      <c r="A133" t="n">
        <v>132</v>
      </c>
      <c r="B133" t="inlineStr">
        <is>
          <t>Social sciences, journalism and information</t>
        </is>
      </c>
      <c r="C133" s="9" t="n">
        <v>3.33</v>
      </c>
      <c r="D133" t="n">
        <v>6</v>
      </c>
      <c r="E133" t="n">
        <v>0</v>
      </c>
      <c r="F133" t="n">
        <v>0</v>
      </c>
      <c r="G133" s="10" t="n">
        <v>2710</v>
      </c>
      <c r="H133" t="n">
        <v>1</v>
      </c>
      <c r="I133" s="11">
        <f>C133-CGPA_Mean</f>
        <v/>
      </c>
      <c r="J133">
        <f>D133</f>
        <v/>
      </c>
      <c r="K133">
        <f>E133</f>
        <v/>
      </c>
      <c r="L133">
        <f>F133</f>
        <v/>
      </c>
      <c r="M133" s="11">
        <f>I133*K133</f>
        <v/>
      </c>
      <c r="N133" s="12">
        <f>LN(G133)</f>
        <v/>
      </c>
      <c r="O133" s="12">
        <f>H133*Beta_0+I133*Beta_1+J133*Beta_2+K133*Beta_3+L133*Beta_4+M133*Beta_5</f>
        <v/>
      </c>
      <c r="P133" s="12">
        <f>N133-O133</f>
        <v/>
      </c>
      <c r="Q133" s="13">
        <f>EXP(O133)*Smearing_Factor</f>
        <v/>
      </c>
    </row>
    <row r="134">
      <c r="A134" t="n">
        <v>133</v>
      </c>
      <c r="B134" t="inlineStr">
        <is>
          <t>Business, administration and law</t>
        </is>
      </c>
      <c r="C134" s="9" t="n">
        <v>2.7</v>
      </c>
      <c r="D134" t="n">
        <v>9</v>
      </c>
      <c r="E134" t="n">
        <v>0</v>
      </c>
      <c r="F134" t="n">
        <v>1</v>
      </c>
      <c r="G134" s="10" t="n">
        <v>580</v>
      </c>
      <c r="H134" t="n">
        <v>1</v>
      </c>
      <c r="I134" s="11">
        <f>C134-CGPA_Mean</f>
        <v/>
      </c>
      <c r="J134">
        <f>D134</f>
        <v/>
      </c>
      <c r="K134">
        <f>E134</f>
        <v/>
      </c>
      <c r="L134">
        <f>F134</f>
        <v/>
      </c>
      <c r="M134" s="11">
        <f>I134*K134</f>
        <v/>
      </c>
      <c r="N134" s="12">
        <f>LN(G134)</f>
        <v/>
      </c>
      <c r="O134" s="12">
        <f>H134*Beta_0+I134*Beta_1+J134*Beta_2+K134*Beta_3+L134*Beta_4+M134*Beta_5</f>
        <v/>
      </c>
      <c r="P134" s="12">
        <f>N134-O134</f>
        <v/>
      </c>
      <c r="Q134" s="13">
        <f>EXP(O134)*Smearing_Factor</f>
        <v/>
      </c>
    </row>
    <row r="135">
      <c r="A135" t="n">
        <v>134</v>
      </c>
      <c r="B135" t="inlineStr">
        <is>
          <t>Business, administration and law</t>
        </is>
      </c>
      <c r="C135" s="9" t="n">
        <v>2.66</v>
      </c>
      <c r="D135" t="n">
        <v>6</v>
      </c>
      <c r="E135" t="n">
        <v>0</v>
      </c>
      <c r="F135" t="n">
        <v>0</v>
      </c>
      <c r="G135" s="10" t="n">
        <v>670</v>
      </c>
      <c r="H135" t="n">
        <v>1</v>
      </c>
      <c r="I135" s="11">
        <f>C135-CGPA_Mean</f>
        <v/>
      </c>
      <c r="J135">
        <f>D135</f>
        <v/>
      </c>
      <c r="K135">
        <f>E135</f>
        <v/>
      </c>
      <c r="L135">
        <f>F135</f>
        <v/>
      </c>
      <c r="M135" s="11">
        <f>I135*K135</f>
        <v/>
      </c>
      <c r="N135" s="12">
        <f>LN(G135)</f>
        <v/>
      </c>
      <c r="O135" s="12">
        <f>H135*Beta_0+I135*Beta_1+J135*Beta_2+K135*Beta_3+L135*Beta_4+M135*Beta_5</f>
        <v/>
      </c>
      <c r="P135" s="12">
        <f>N135-O135</f>
        <v/>
      </c>
      <c r="Q135" s="13">
        <f>EXP(O135)*Smearing_Factor</f>
        <v/>
      </c>
    </row>
    <row r="136">
      <c r="A136" t="n">
        <v>135</v>
      </c>
      <c r="B136" t="inlineStr">
        <is>
          <t>Engineering, manufacturing and construction</t>
        </is>
      </c>
      <c r="C136" s="9" t="n">
        <v>2.83</v>
      </c>
      <c r="D136" t="n">
        <v>6</v>
      </c>
      <c r="E136" t="n">
        <v>1</v>
      </c>
      <c r="F136" t="n">
        <v>1</v>
      </c>
      <c r="G136" s="10" t="n">
        <v>2970</v>
      </c>
      <c r="H136" t="n">
        <v>1</v>
      </c>
      <c r="I136" s="11">
        <f>C136-CGPA_Mean</f>
        <v/>
      </c>
      <c r="J136">
        <f>D136</f>
        <v/>
      </c>
      <c r="K136">
        <f>E136</f>
        <v/>
      </c>
      <c r="L136">
        <f>F136</f>
        <v/>
      </c>
      <c r="M136" s="11">
        <f>I136*K136</f>
        <v/>
      </c>
      <c r="N136" s="12">
        <f>LN(G136)</f>
        <v/>
      </c>
      <c r="O136" s="12">
        <f>H136*Beta_0+I136*Beta_1+J136*Beta_2+K136*Beta_3+L136*Beta_4+M136*Beta_5</f>
        <v/>
      </c>
      <c r="P136" s="12">
        <f>N136-O136</f>
        <v/>
      </c>
      <c r="Q136" s="13">
        <f>EXP(O136)*Smearing_Factor</f>
        <v/>
      </c>
    </row>
    <row r="137">
      <c r="A137" t="n">
        <v>136</v>
      </c>
      <c r="B137" t="inlineStr">
        <is>
          <t>Information and communication technologies</t>
        </is>
      </c>
      <c r="C137" s="9" t="n">
        <v>3.62</v>
      </c>
      <c r="D137" t="n">
        <v>6</v>
      </c>
      <c r="E137" t="n">
        <v>1</v>
      </c>
      <c r="F137" t="n">
        <v>0</v>
      </c>
      <c r="G137" s="10" t="n">
        <v>8140</v>
      </c>
      <c r="H137" t="n">
        <v>1</v>
      </c>
      <c r="I137" s="11">
        <f>C137-CGPA_Mean</f>
        <v/>
      </c>
      <c r="J137">
        <f>D137</f>
        <v/>
      </c>
      <c r="K137">
        <f>E137</f>
        <v/>
      </c>
      <c r="L137">
        <f>F137</f>
        <v/>
      </c>
      <c r="M137" s="11">
        <f>I137*K137</f>
        <v/>
      </c>
      <c r="N137" s="12">
        <f>LN(G137)</f>
        <v/>
      </c>
      <c r="O137" s="12">
        <f>H137*Beta_0+I137*Beta_1+J137*Beta_2+K137*Beta_3+L137*Beta_4+M137*Beta_5</f>
        <v/>
      </c>
      <c r="P137" s="12">
        <f>N137-O137</f>
        <v/>
      </c>
      <c r="Q137" s="13">
        <f>EXP(O137)*Smearing_Factor</f>
        <v/>
      </c>
    </row>
    <row r="138">
      <c r="A138" t="n">
        <v>137</v>
      </c>
      <c r="B138" t="inlineStr">
        <is>
          <t>Information and communication technologies</t>
        </is>
      </c>
      <c r="C138" s="9" t="n">
        <v>3.94</v>
      </c>
      <c r="D138" t="n">
        <v>9</v>
      </c>
      <c r="E138" t="n">
        <v>1</v>
      </c>
      <c r="F138" t="n">
        <v>0</v>
      </c>
      <c r="G138" s="10" t="n">
        <v>3370</v>
      </c>
      <c r="H138" t="n">
        <v>1</v>
      </c>
      <c r="I138" s="11">
        <f>C138-CGPA_Mean</f>
        <v/>
      </c>
      <c r="J138">
        <f>D138</f>
        <v/>
      </c>
      <c r="K138">
        <f>E138</f>
        <v/>
      </c>
      <c r="L138">
        <f>F138</f>
        <v/>
      </c>
      <c r="M138" s="11">
        <f>I138*K138</f>
        <v/>
      </c>
      <c r="N138" s="12">
        <f>LN(G138)</f>
        <v/>
      </c>
      <c r="O138" s="12">
        <f>H138*Beta_0+I138*Beta_1+J138*Beta_2+K138*Beta_3+L138*Beta_4+M138*Beta_5</f>
        <v/>
      </c>
      <c r="P138" s="12">
        <f>N138-O138</f>
        <v/>
      </c>
      <c r="Q138" s="13">
        <f>EXP(O138)*Smearing_Factor</f>
        <v/>
      </c>
    </row>
    <row r="139">
      <c r="A139" t="n">
        <v>138</v>
      </c>
      <c r="B139" t="inlineStr">
        <is>
          <t>Services</t>
        </is>
      </c>
      <c r="C139" s="9" t="n">
        <v>2.93</v>
      </c>
      <c r="D139" t="n">
        <v>6</v>
      </c>
      <c r="E139" t="n">
        <v>0</v>
      </c>
      <c r="F139" t="n">
        <v>0</v>
      </c>
      <c r="G139" s="10" t="n">
        <v>950</v>
      </c>
      <c r="H139" t="n">
        <v>1</v>
      </c>
      <c r="I139" s="11">
        <f>C139-CGPA_Mean</f>
        <v/>
      </c>
      <c r="J139">
        <f>D139</f>
        <v/>
      </c>
      <c r="K139">
        <f>E139</f>
        <v/>
      </c>
      <c r="L139">
        <f>F139</f>
        <v/>
      </c>
      <c r="M139" s="11">
        <f>I139*K139</f>
        <v/>
      </c>
      <c r="N139" s="12">
        <f>LN(G139)</f>
        <v/>
      </c>
      <c r="O139" s="12">
        <f>H139*Beta_0+I139*Beta_1+J139*Beta_2+K139*Beta_3+L139*Beta_4+M139*Beta_5</f>
        <v/>
      </c>
      <c r="P139" s="12">
        <f>N139-O139</f>
        <v/>
      </c>
      <c r="Q139" s="13">
        <f>EXP(O139)*Smearing_Factor</f>
        <v/>
      </c>
    </row>
    <row r="140">
      <c r="A140" t="n">
        <v>139</v>
      </c>
      <c r="B140" t="inlineStr">
        <is>
          <t>Services</t>
        </is>
      </c>
      <c r="C140" s="9" t="n">
        <v>2.83</v>
      </c>
      <c r="D140" t="n">
        <v>9</v>
      </c>
      <c r="E140" t="n">
        <v>0</v>
      </c>
      <c r="F140" t="n">
        <v>0</v>
      </c>
      <c r="G140" s="10" t="n">
        <v>1900</v>
      </c>
      <c r="H140" t="n">
        <v>1</v>
      </c>
      <c r="I140" s="11">
        <f>C140-CGPA_Mean</f>
        <v/>
      </c>
      <c r="J140">
        <f>D140</f>
        <v/>
      </c>
      <c r="K140">
        <f>E140</f>
        <v/>
      </c>
      <c r="L140">
        <f>F140</f>
        <v/>
      </c>
      <c r="M140" s="11">
        <f>I140*K140</f>
        <v/>
      </c>
      <c r="N140" s="12">
        <f>LN(G140)</f>
        <v/>
      </c>
      <c r="O140" s="12">
        <f>H140*Beta_0+I140*Beta_1+J140*Beta_2+K140*Beta_3+L140*Beta_4+M140*Beta_5</f>
        <v/>
      </c>
      <c r="P140" s="12">
        <f>N140-O140</f>
        <v/>
      </c>
      <c r="Q140" s="13">
        <f>EXP(O140)*Smearing_Factor</f>
        <v/>
      </c>
    </row>
    <row r="141">
      <c r="A141" t="n">
        <v>140</v>
      </c>
      <c r="B141" t="inlineStr">
        <is>
          <t>Arts and humanities</t>
        </is>
      </c>
      <c r="C141" s="9" t="n">
        <v>3.4</v>
      </c>
      <c r="D141" t="n">
        <v>3</v>
      </c>
      <c r="E141" t="n">
        <v>0</v>
      </c>
      <c r="F141" t="n">
        <v>0</v>
      </c>
      <c r="G141" s="10" t="n">
        <v>500</v>
      </c>
      <c r="H141" t="n">
        <v>1</v>
      </c>
      <c r="I141" s="11">
        <f>C141-CGPA_Mean</f>
        <v/>
      </c>
      <c r="J141">
        <f>D141</f>
        <v/>
      </c>
      <c r="K141">
        <f>E141</f>
        <v/>
      </c>
      <c r="L141">
        <f>F141</f>
        <v/>
      </c>
      <c r="M141" s="11">
        <f>I141*K141</f>
        <v/>
      </c>
      <c r="N141" s="12">
        <f>LN(G141)</f>
        <v/>
      </c>
      <c r="O141" s="12">
        <f>H141*Beta_0+I141*Beta_1+J141*Beta_2+K141*Beta_3+L141*Beta_4+M141*Beta_5</f>
        <v/>
      </c>
      <c r="P141" s="12">
        <f>N141-O141</f>
        <v/>
      </c>
      <c r="Q141" s="13">
        <f>EXP(O141)*Smearing_Factor</f>
        <v/>
      </c>
    </row>
    <row r="142">
      <c r="A142" t="n">
        <v>141</v>
      </c>
      <c r="B142" t="inlineStr">
        <is>
          <t>Business, administration and law</t>
        </is>
      </c>
      <c r="C142" s="9" t="n">
        <v>3.13</v>
      </c>
      <c r="D142" t="n">
        <v>6</v>
      </c>
      <c r="E142" t="n">
        <v>0</v>
      </c>
      <c r="F142" t="n">
        <v>0</v>
      </c>
      <c r="G142" s="10" t="n">
        <v>1960</v>
      </c>
      <c r="H142" t="n">
        <v>1</v>
      </c>
      <c r="I142" s="11">
        <f>C142-CGPA_Mean</f>
        <v/>
      </c>
      <c r="J142">
        <f>D142</f>
        <v/>
      </c>
      <c r="K142">
        <f>E142</f>
        <v/>
      </c>
      <c r="L142">
        <f>F142</f>
        <v/>
      </c>
      <c r="M142" s="11">
        <f>I142*K142</f>
        <v/>
      </c>
      <c r="N142" s="12">
        <f>LN(G142)</f>
        <v/>
      </c>
      <c r="O142" s="12">
        <f>H142*Beta_0+I142*Beta_1+J142*Beta_2+K142*Beta_3+L142*Beta_4+M142*Beta_5</f>
        <v/>
      </c>
      <c r="P142" s="12">
        <f>N142-O142</f>
        <v/>
      </c>
      <c r="Q142" s="13">
        <f>EXP(O142)*Smearing_Factor</f>
        <v/>
      </c>
    </row>
    <row r="143">
      <c r="A143" t="n">
        <v>142</v>
      </c>
      <c r="B143" t="inlineStr">
        <is>
          <t>Education</t>
        </is>
      </c>
      <c r="C143" s="9" t="n">
        <v>2.97</v>
      </c>
      <c r="D143" t="n">
        <v>9</v>
      </c>
      <c r="E143" t="n">
        <v>0</v>
      </c>
      <c r="F143" t="n">
        <v>1</v>
      </c>
      <c r="G143" s="10" t="n">
        <v>1720</v>
      </c>
      <c r="H143" t="n">
        <v>1</v>
      </c>
      <c r="I143" s="11">
        <f>C143-CGPA_Mean</f>
        <v/>
      </c>
      <c r="J143">
        <f>D143</f>
        <v/>
      </c>
      <c r="K143">
        <f>E143</f>
        <v/>
      </c>
      <c r="L143">
        <f>F143</f>
        <v/>
      </c>
      <c r="M143" s="11">
        <f>I143*K143</f>
        <v/>
      </c>
      <c r="N143" s="12">
        <f>LN(G143)</f>
        <v/>
      </c>
      <c r="O143" s="12">
        <f>H143*Beta_0+I143*Beta_1+J143*Beta_2+K143*Beta_3+L143*Beta_4+M143*Beta_5</f>
        <v/>
      </c>
      <c r="P143" s="12">
        <f>N143-O143</f>
        <v/>
      </c>
      <c r="Q143" s="13">
        <f>EXP(O143)*Smearing_Factor</f>
        <v/>
      </c>
    </row>
    <row r="144">
      <c r="A144" t="n">
        <v>143</v>
      </c>
      <c r="B144" t="inlineStr">
        <is>
          <t>Health and welfare</t>
        </is>
      </c>
      <c r="C144" s="9" t="n">
        <v>3.37</v>
      </c>
      <c r="D144" t="n">
        <v>6</v>
      </c>
      <c r="E144" t="n">
        <v>0</v>
      </c>
      <c r="F144" t="n">
        <v>1</v>
      </c>
      <c r="G144" s="10" t="n">
        <v>2250</v>
      </c>
      <c r="H144" t="n">
        <v>1</v>
      </c>
      <c r="I144" s="11">
        <f>C144-CGPA_Mean</f>
        <v/>
      </c>
      <c r="J144">
        <f>D144</f>
        <v/>
      </c>
      <c r="K144">
        <f>E144</f>
        <v/>
      </c>
      <c r="L144">
        <f>F144</f>
        <v/>
      </c>
      <c r="M144" s="11">
        <f>I144*K144</f>
        <v/>
      </c>
      <c r="N144" s="12">
        <f>LN(G144)</f>
        <v/>
      </c>
      <c r="O144" s="12">
        <f>H144*Beta_0+I144*Beta_1+J144*Beta_2+K144*Beta_3+L144*Beta_4+M144*Beta_5</f>
        <v/>
      </c>
      <c r="P144" s="12">
        <f>N144-O144</f>
        <v/>
      </c>
      <c r="Q144" s="13">
        <f>EXP(O144)*Smearing_Factor</f>
        <v/>
      </c>
    </row>
    <row r="145">
      <c r="A145" t="n">
        <v>144</v>
      </c>
      <c r="B145" t="inlineStr">
        <is>
          <t>Social sciences, journalism and information</t>
        </is>
      </c>
      <c r="C145" s="9" t="n">
        <v>2.87</v>
      </c>
      <c r="D145" t="n">
        <v>6</v>
      </c>
      <c r="E145" t="n">
        <v>0</v>
      </c>
      <c r="F145" t="n">
        <v>1</v>
      </c>
      <c r="G145" s="10" t="n">
        <v>3240</v>
      </c>
      <c r="H145" t="n">
        <v>1</v>
      </c>
      <c r="I145" s="11">
        <f>C145-CGPA_Mean</f>
        <v/>
      </c>
      <c r="J145">
        <f>D145</f>
        <v/>
      </c>
      <c r="K145">
        <f>E145</f>
        <v/>
      </c>
      <c r="L145">
        <f>F145</f>
        <v/>
      </c>
      <c r="M145" s="11">
        <f>I145*K145</f>
        <v/>
      </c>
      <c r="N145" s="12">
        <f>LN(G145)</f>
        <v/>
      </c>
      <c r="O145" s="12">
        <f>H145*Beta_0+I145*Beta_1+J145*Beta_2+K145*Beta_3+L145*Beta_4+M145*Beta_5</f>
        <v/>
      </c>
      <c r="P145" s="12">
        <f>N145-O145</f>
        <v/>
      </c>
      <c r="Q145" s="13">
        <f>EXP(O145)*Smearing_Factor</f>
        <v/>
      </c>
    </row>
    <row r="146">
      <c r="A146" t="n">
        <v>145</v>
      </c>
      <c r="B146" t="inlineStr">
        <is>
          <t>Business, administration and law</t>
        </is>
      </c>
      <c r="C146" s="9" t="n">
        <v>3.18</v>
      </c>
      <c r="D146" t="n">
        <v>3</v>
      </c>
      <c r="E146" t="n">
        <v>0</v>
      </c>
      <c r="F146" t="n">
        <v>0</v>
      </c>
      <c r="G146" s="10" t="n">
        <v>3990</v>
      </c>
      <c r="H146" t="n">
        <v>1</v>
      </c>
      <c r="I146" s="11">
        <f>C146-CGPA_Mean</f>
        <v/>
      </c>
      <c r="J146">
        <f>D146</f>
        <v/>
      </c>
      <c r="K146">
        <f>E146</f>
        <v/>
      </c>
      <c r="L146">
        <f>F146</f>
        <v/>
      </c>
      <c r="M146" s="11">
        <f>I146*K146</f>
        <v/>
      </c>
      <c r="N146" s="12">
        <f>LN(G146)</f>
        <v/>
      </c>
      <c r="O146" s="12">
        <f>H146*Beta_0+I146*Beta_1+J146*Beta_2+K146*Beta_3+L146*Beta_4+M146*Beta_5</f>
        <v/>
      </c>
      <c r="P146" s="12">
        <f>N146-O146</f>
        <v/>
      </c>
      <c r="Q146" s="13">
        <f>EXP(O146)*Smearing_Factor</f>
        <v/>
      </c>
    </row>
    <row r="147">
      <c r="A147" t="n">
        <v>146</v>
      </c>
      <c r="B147" t="inlineStr">
        <is>
          <t>Services</t>
        </is>
      </c>
      <c r="C147" s="9" t="n">
        <v>3.73</v>
      </c>
      <c r="D147" t="n">
        <v>6</v>
      </c>
      <c r="E147" t="n">
        <v>0</v>
      </c>
      <c r="F147" t="n">
        <v>0</v>
      </c>
      <c r="G147" s="10" t="n">
        <v>3410</v>
      </c>
      <c r="H147" t="n">
        <v>1</v>
      </c>
      <c r="I147" s="11">
        <f>C147-CGPA_Mean</f>
        <v/>
      </c>
      <c r="J147">
        <f>D147</f>
        <v/>
      </c>
      <c r="K147">
        <f>E147</f>
        <v/>
      </c>
      <c r="L147">
        <f>F147</f>
        <v/>
      </c>
      <c r="M147" s="11">
        <f>I147*K147</f>
        <v/>
      </c>
      <c r="N147" s="12">
        <f>LN(G147)</f>
        <v/>
      </c>
      <c r="O147" s="12">
        <f>H147*Beta_0+I147*Beta_1+J147*Beta_2+K147*Beta_3+L147*Beta_4+M147*Beta_5</f>
        <v/>
      </c>
      <c r="P147" s="12">
        <f>N147-O147</f>
        <v/>
      </c>
      <c r="Q147" s="13">
        <f>EXP(O147)*Smearing_Factor</f>
        <v/>
      </c>
    </row>
    <row r="148">
      <c r="A148" t="n">
        <v>147</v>
      </c>
      <c r="B148" t="inlineStr">
        <is>
          <t>Business, administration and law</t>
        </is>
      </c>
      <c r="C148" s="9" t="n">
        <v>3.06</v>
      </c>
      <c r="D148" t="n">
        <v>9</v>
      </c>
      <c r="E148" t="n">
        <v>0</v>
      </c>
      <c r="F148" t="n">
        <v>1</v>
      </c>
      <c r="G148" s="10" t="n">
        <v>4460</v>
      </c>
      <c r="H148" t="n">
        <v>1</v>
      </c>
      <c r="I148" s="11">
        <f>C148-CGPA_Mean</f>
        <v/>
      </c>
      <c r="J148">
        <f>D148</f>
        <v/>
      </c>
      <c r="K148">
        <f>E148</f>
        <v/>
      </c>
      <c r="L148">
        <f>F148</f>
        <v/>
      </c>
      <c r="M148" s="11">
        <f>I148*K148</f>
        <v/>
      </c>
      <c r="N148" s="12">
        <f>LN(G148)</f>
        <v/>
      </c>
      <c r="O148" s="12">
        <f>H148*Beta_0+I148*Beta_1+J148*Beta_2+K148*Beta_3+L148*Beta_4+M148*Beta_5</f>
        <v/>
      </c>
      <c r="P148" s="12">
        <f>N148-O148</f>
        <v/>
      </c>
      <c r="Q148" s="13">
        <f>EXP(O148)*Smearing_Factor</f>
        <v/>
      </c>
    </row>
    <row r="149">
      <c r="A149" t="n">
        <v>148</v>
      </c>
      <c r="B149" t="inlineStr">
        <is>
          <t>Business, administration and law</t>
        </is>
      </c>
      <c r="C149" s="9" t="n">
        <v>2.69</v>
      </c>
      <c r="D149" t="n">
        <v>9</v>
      </c>
      <c r="E149" t="n">
        <v>0</v>
      </c>
      <c r="F149" t="n">
        <v>1</v>
      </c>
      <c r="G149" s="10" t="n">
        <v>1250</v>
      </c>
      <c r="H149" t="n">
        <v>1</v>
      </c>
      <c r="I149" s="11">
        <f>C149-CGPA_Mean</f>
        <v/>
      </c>
      <c r="J149">
        <f>D149</f>
        <v/>
      </c>
      <c r="K149">
        <f>E149</f>
        <v/>
      </c>
      <c r="L149">
        <f>F149</f>
        <v/>
      </c>
      <c r="M149" s="11">
        <f>I149*K149</f>
        <v/>
      </c>
      <c r="N149" s="12">
        <f>LN(G149)</f>
        <v/>
      </c>
      <c r="O149" s="12">
        <f>H149*Beta_0+I149*Beta_1+J149*Beta_2+K149*Beta_3+L149*Beta_4+M149*Beta_5</f>
        <v/>
      </c>
      <c r="P149" s="12">
        <f>N149-O149</f>
        <v/>
      </c>
      <c r="Q149" s="13">
        <f>EXP(O149)*Smearing_Factor</f>
        <v/>
      </c>
    </row>
    <row r="150">
      <c r="A150" t="n">
        <v>149</v>
      </c>
      <c r="B150" t="inlineStr">
        <is>
          <t>Information and communication technologies</t>
        </is>
      </c>
      <c r="C150" s="9" t="n">
        <v>3.59</v>
      </c>
      <c r="D150" t="n">
        <v>6</v>
      </c>
      <c r="E150" t="n">
        <v>1</v>
      </c>
      <c r="F150" t="n">
        <v>1</v>
      </c>
      <c r="G150" s="10" t="n">
        <v>4420</v>
      </c>
      <c r="H150" t="n">
        <v>1</v>
      </c>
      <c r="I150" s="11">
        <f>C150-CGPA_Mean</f>
        <v/>
      </c>
      <c r="J150">
        <f>D150</f>
        <v/>
      </c>
      <c r="K150">
        <f>E150</f>
        <v/>
      </c>
      <c r="L150">
        <f>F150</f>
        <v/>
      </c>
      <c r="M150" s="11">
        <f>I150*K150</f>
        <v/>
      </c>
      <c r="N150" s="12">
        <f>LN(G150)</f>
        <v/>
      </c>
      <c r="O150" s="12">
        <f>H150*Beta_0+I150*Beta_1+J150*Beta_2+K150*Beta_3+L150*Beta_4+M150*Beta_5</f>
        <v/>
      </c>
      <c r="P150" s="12">
        <f>N150-O150</f>
        <v/>
      </c>
      <c r="Q150" s="13">
        <f>EXP(O150)*Smearing_Factor</f>
        <v/>
      </c>
    </row>
    <row r="151">
      <c r="A151" t="n">
        <v>150</v>
      </c>
      <c r="B151" t="inlineStr">
        <is>
          <t>Engineering, manufacturing and construction</t>
        </is>
      </c>
      <c r="C151" s="9" t="n">
        <v>3.2</v>
      </c>
      <c r="D151" t="n">
        <v>3</v>
      </c>
      <c r="E151" t="n">
        <v>1</v>
      </c>
      <c r="F151" t="n">
        <v>1</v>
      </c>
      <c r="G151" s="10" t="n">
        <v>2800</v>
      </c>
      <c r="H151" t="n">
        <v>1</v>
      </c>
      <c r="I151" s="11">
        <f>C151-CGPA_Mean</f>
        <v/>
      </c>
      <c r="J151">
        <f>D151</f>
        <v/>
      </c>
      <c r="K151">
        <f>E151</f>
        <v/>
      </c>
      <c r="L151">
        <f>F151</f>
        <v/>
      </c>
      <c r="M151" s="11">
        <f>I151*K151</f>
        <v/>
      </c>
      <c r="N151" s="12">
        <f>LN(G151)</f>
        <v/>
      </c>
      <c r="O151" s="12">
        <f>H151*Beta_0+I151*Beta_1+J151*Beta_2+K151*Beta_3+L151*Beta_4+M151*Beta_5</f>
        <v/>
      </c>
      <c r="P151" s="12">
        <f>N151-O151</f>
        <v/>
      </c>
      <c r="Q151" s="13">
        <f>EXP(O151)*Smearing_Factor</f>
        <v/>
      </c>
    </row>
    <row r="152">
      <c r="A152" t="n">
        <v>151</v>
      </c>
      <c r="B152" t="inlineStr">
        <is>
          <t>Social sciences, journalism and information</t>
        </is>
      </c>
      <c r="C152" s="9" t="n">
        <v>2.73</v>
      </c>
      <c r="D152" t="n">
        <v>6</v>
      </c>
      <c r="E152" t="n">
        <v>0</v>
      </c>
      <c r="F152" t="n">
        <v>0</v>
      </c>
      <c r="G152" s="10" t="n">
        <v>3800</v>
      </c>
      <c r="H152" t="n">
        <v>1</v>
      </c>
      <c r="I152" s="11">
        <f>C152-CGPA_Mean</f>
        <v/>
      </c>
      <c r="J152">
        <f>D152</f>
        <v/>
      </c>
      <c r="K152">
        <f>E152</f>
        <v/>
      </c>
      <c r="L152">
        <f>F152</f>
        <v/>
      </c>
      <c r="M152" s="11">
        <f>I152*K152</f>
        <v/>
      </c>
      <c r="N152" s="12">
        <f>LN(G152)</f>
        <v/>
      </c>
      <c r="O152" s="12">
        <f>H152*Beta_0+I152*Beta_1+J152*Beta_2+K152*Beta_3+L152*Beta_4+M152*Beta_5</f>
        <v/>
      </c>
      <c r="P152" s="12">
        <f>N152-O152</f>
        <v/>
      </c>
      <c r="Q152" s="13">
        <f>EXP(O152)*Smearing_Factor</f>
        <v/>
      </c>
    </row>
    <row r="153">
      <c r="A153" t="n">
        <v>152</v>
      </c>
      <c r="B153" t="inlineStr">
        <is>
          <t>Information and communication technologies</t>
        </is>
      </c>
      <c r="C153" s="9" t="n">
        <v>3.2</v>
      </c>
      <c r="D153" t="n">
        <v>6</v>
      </c>
      <c r="E153" t="n">
        <v>1</v>
      </c>
      <c r="F153" t="n">
        <v>0</v>
      </c>
      <c r="G153" s="10" t="n">
        <v>2130</v>
      </c>
      <c r="H153" t="n">
        <v>1</v>
      </c>
      <c r="I153" s="11">
        <f>C153-CGPA_Mean</f>
        <v/>
      </c>
      <c r="J153">
        <f>D153</f>
        <v/>
      </c>
      <c r="K153">
        <f>E153</f>
        <v/>
      </c>
      <c r="L153">
        <f>F153</f>
        <v/>
      </c>
      <c r="M153" s="11">
        <f>I153*K153</f>
        <v/>
      </c>
      <c r="N153" s="12">
        <f>LN(G153)</f>
        <v/>
      </c>
      <c r="O153" s="12">
        <f>H153*Beta_0+I153*Beta_1+J153*Beta_2+K153*Beta_3+L153*Beta_4+M153*Beta_5</f>
        <v/>
      </c>
      <c r="P153" s="12">
        <f>N153-O153</f>
        <v/>
      </c>
      <c r="Q153" s="13">
        <f>EXP(O153)*Smearing_Factor</f>
        <v/>
      </c>
    </row>
    <row r="154">
      <c r="A154" t="n">
        <v>153</v>
      </c>
      <c r="B154" t="inlineStr">
        <is>
          <t>Engineering, manufacturing and construction</t>
        </is>
      </c>
      <c r="C154" s="9" t="n">
        <v>3.06</v>
      </c>
      <c r="D154" t="n">
        <v>9</v>
      </c>
      <c r="E154" t="n">
        <v>1</v>
      </c>
      <c r="F154" t="n">
        <v>0</v>
      </c>
      <c r="G154" s="10" t="n">
        <v>2960</v>
      </c>
      <c r="H154" t="n">
        <v>1</v>
      </c>
      <c r="I154" s="11">
        <f>C154-CGPA_Mean</f>
        <v/>
      </c>
      <c r="J154">
        <f>D154</f>
        <v/>
      </c>
      <c r="K154">
        <f>E154</f>
        <v/>
      </c>
      <c r="L154">
        <f>F154</f>
        <v/>
      </c>
      <c r="M154" s="11">
        <f>I154*K154</f>
        <v/>
      </c>
      <c r="N154" s="12">
        <f>LN(G154)</f>
        <v/>
      </c>
      <c r="O154" s="12">
        <f>H154*Beta_0+I154*Beta_1+J154*Beta_2+K154*Beta_3+L154*Beta_4+M154*Beta_5</f>
        <v/>
      </c>
      <c r="P154" s="12">
        <f>N154-O154</f>
        <v/>
      </c>
      <c r="Q154" s="13">
        <f>EXP(O154)*Smearing_Factor</f>
        <v/>
      </c>
    </row>
    <row r="155">
      <c r="A155" t="n">
        <v>154</v>
      </c>
      <c r="B155" t="inlineStr">
        <is>
          <t>Information and communication technologies</t>
        </is>
      </c>
      <c r="C155" s="9" t="n">
        <v>3.51</v>
      </c>
      <c r="D155" t="n">
        <v>6</v>
      </c>
      <c r="E155" t="n">
        <v>1</v>
      </c>
      <c r="F155" t="n">
        <v>0</v>
      </c>
      <c r="G155" s="10" t="n">
        <v>3320</v>
      </c>
      <c r="H155" t="n">
        <v>1</v>
      </c>
      <c r="I155" s="11">
        <f>C155-CGPA_Mean</f>
        <v/>
      </c>
      <c r="J155">
        <f>D155</f>
        <v/>
      </c>
      <c r="K155">
        <f>E155</f>
        <v/>
      </c>
      <c r="L155">
        <f>F155</f>
        <v/>
      </c>
      <c r="M155" s="11">
        <f>I155*K155</f>
        <v/>
      </c>
      <c r="N155" s="12">
        <f>LN(G155)</f>
        <v/>
      </c>
      <c r="O155" s="12">
        <f>H155*Beta_0+I155*Beta_1+J155*Beta_2+K155*Beta_3+L155*Beta_4+M155*Beta_5</f>
        <v/>
      </c>
      <c r="P155" s="12">
        <f>N155-O155</f>
        <v/>
      </c>
      <c r="Q155" s="13">
        <f>EXP(O155)*Smearing_Factor</f>
        <v/>
      </c>
    </row>
    <row r="156">
      <c r="A156" t="n">
        <v>155</v>
      </c>
      <c r="B156" t="inlineStr">
        <is>
          <t>Social sciences, journalism and information</t>
        </is>
      </c>
      <c r="C156" s="9" t="n">
        <v>3.01</v>
      </c>
      <c r="D156" t="n">
        <v>3</v>
      </c>
      <c r="E156" t="n">
        <v>0</v>
      </c>
      <c r="F156" t="n">
        <v>1</v>
      </c>
      <c r="G156" s="10" t="n">
        <v>2340</v>
      </c>
      <c r="H156" t="n">
        <v>1</v>
      </c>
      <c r="I156" s="11">
        <f>C156-CGPA_Mean</f>
        <v/>
      </c>
      <c r="J156">
        <f>D156</f>
        <v/>
      </c>
      <c r="K156">
        <f>E156</f>
        <v/>
      </c>
      <c r="L156">
        <f>F156</f>
        <v/>
      </c>
      <c r="M156" s="11">
        <f>I156*K156</f>
        <v/>
      </c>
      <c r="N156" s="12">
        <f>LN(G156)</f>
        <v/>
      </c>
      <c r="O156" s="12">
        <f>H156*Beta_0+I156*Beta_1+J156*Beta_2+K156*Beta_3+L156*Beta_4+M156*Beta_5</f>
        <v/>
      </c>
      <c r="P156" s="12">
        <f>N156-O156</f>
        <v/>
      </c>
      <c r="Q156" s="13">
        <f>EXP(O156)*Smearing_Factor</f>
        <v/>
      </c>
    </row>
    <row r="157">
      <c r="A157" t="n">
        <v>156</v>
      </c>
      <c r="B157" t="inlineStr">
        <is>
          <t>Social sciences, journalism and information</t>
        </is>
      </c>
      <c r="C157" s="9" t="n">
        <v>3.36</v>
      </c>
      <c r="D157" t="n">
        <v>6</v>
      </c>
      <c r="E157" t="n">
        <v>0</v>
      </c>
      <c r="F157" t="n">
        <v>0</v>
      </c>
      <c r="G157" s="10" t="n">
        <v>720</v>
      </c>
      <c r="H157" t="n">
        <v>1</v>
      </c>
      <c r="I157" s="11">
        <f>C157-CGPA_Mean</f>
        <v/>
      </c>
      <c r="J157">
        <f>D157</f>
        <v/>
      </c>
      <c r="K157">
        <f>E157</f>
        <v/>
      </c>
      <c r="L157">
        <f>F157</f>
        <v/>
      </c>
      <c r="M157" s="11">
        <f>I157*K157</f>
        <v/>
      </c>
      <c r="N157" s="12">
        <f>LN(G157)</f>
        <v/>
      </c>
      <c r="O157" s="12">
        <f>H157*Beta_0+I157*Beta_1+J157*Beta_2+K157*Beta_3+L157*Beta_4+M157*Beta_5</f>
        <v/>
      </c>
      <c r="P157" s="12">
        <f>N157-O157</f>
        <v/>
      </c>
      <c r="Q157" s="13">
        <f>EXP(O157)*Smearing_Factor</f>
        <v/>
      </c>
    </row>
    <row r="158">
      <c r="A158" t="n">
        <v>157</v>
      </c>
      <c r="B158" t="inlineStr">
        <is>
          <t>Business, administration and law</t>
        </is>
      </c>
      <c r="C158" s="9" t="n">
        <v>3.72</v>
      </c>
      <c r="D158" t="n">
        <v>3</v>
      </c>
      <c r="E158" t="n">
        <v>0</v>
      </c>
      <c r="F158" t="n">
        <v>0</v>
      </c>
      <c r="G158" s="10" t="n">
        <v>3980</v>
      </c>
      <c r="H158" t="n">
        <v>1</v>
      </c>
      <c r="I158" s="11">
        <f>C158-CGPA_Mean</f>
        <v/>
      </c>
      <c r="J158">
        <f>D158</f>
        <v/>
      </c>
      <c r="K158">
        <f>E158</f>
        <v/>
      </c>
      <c r="L158">
        <f>F158</f>
        <v/>
      </c>
      <c r="M158" s="11">
        <f>I158*K158</f>
        <v/>
      </c>
      <c r="N158" s="12">
        <f>LN(G158)</f>
        <v/>
      </c>
      <c r="O158" s="12">
        <f>H158*Beta_0+I158*Beta_1+J158*Beta_2+K158*Beta_3+L158*Beta_4+M158*Beta_5</f>
        <v/>
      </c>
      <c r="P158" s="12">
        <f>N158-O158</f>
        <v/>
      </c>
      <c r="Q158" s="13">
        <f>EXP(O158)*Smearing_Factor</f>
        <v/>
      </c>
    </row>
    <row r="159">
      <c r="A159" t="n">
        <v>158</v>
      </c>
      <c r="B159" t="inlineStr">
        <is>
          <t>Social sciences, journalism and information</t>
        </is>
      </c>
      <c r="C159" s="9" t="n">
        <v>2.97</v>
      </c>
      <c r="D159" t="n">
        <v>3</v>
      </c>
      <c r="E159" t="n">
        <v>0</v>
      </c>
      <c r="F159" t="n">
        <v>0</v>
      </c>
      <c r="G159" s="10" t="n">
        <v>2120</v>
      </c>
      <c r="H159" t="n">
        <v>1</v>
      </c>
      <c r="I159" s="11">
        <f>C159-CGPA_Mean</f>
        <v/>
      </c>
      <c r="J159">
        <f>D159</f>
        <v/>
      </c>
      <c r="K159">
        <f>E159</f>
        <v/>
      </c>
      <c r="L159">
        <f>F159</f>
        <v/>
      </c>
      <c r="M159" s="11">
        <f>I159*K159</f>
        <v/>
      </c>
      <c r="N159" s="12">
        <f>LN(G159)</f>
        <v/>
      </c>
      <c r="O159" s="12">
        <f>H159*Beta_0+I159*Beta_1+J159*Beta_2+K159*Beta_3+L159*Beta_4+M159*Beta_5</f>
        <v/>
      </c>
      <c r="P159" s="12">
        <f>N159-O159</f>
        <v/>
      </c>
      <c r="Q159" s="13">
        <f>EXP(O159)*Smearing_Factor</f>
        <v/>
      </c>
    </row>
    <row r="160">
      <c r="A160" t="n">
        <v>159</v>
      </c>
      <c r="B160" t="inlineStr">
        <is>
          <t>Social sciences, journalism and information</t>
        </is>
      </c>
      <c r="C160" s="9" t="n">
        <v>3.43</v>
      </c>
      <c r="D160" t="n">
        <v>6</v>
      </c>
      <c r="E160" t="n">
        <v>0</v>
      </c>
      <c r="F160" t="n">
        <v>1</v>
      </c>
      <c r="G160" s="10" t="n">
        <v>1570</v>
      </c>
      <c r="H160" t="n">
        <v>1</v>
      </c>
      <c r="I160" s="11">
        <f>C160-CGPA_Mean</f>
        <v/>
      </c>
      <c r="J160">
        <f>D160</f>
        <v/>
      </c>
      <c r="K160">
        <f>E160</f>
        <v/>
      </c>
      <c r="L160">
        <f>F160</f>
        <v/>
      </c>
      <c r="M160" s="11">
        <f>I160*K160</f>
        <v/>
      </c>
      <c r="N160" s="12">
        <f>LN(G160)</f>
        <v/>
      </c>
      <c r="O160" s="12">
        <f>H160*Beta_0+I160*Beta_1+J160*Beta_2+K160*Beta_3+L160*Beta_4+M160*Beta_5</f>
        <v/>
      </c>
      <c r="P160" s="12">
        <f>N160-O160</f>
        <v/>
      </c>
      <c r="Q160" s="13">
        <f>EXP(O160)*Smearing_Factor</f>
        <v/>
      </c>
    </row>
    <row r="161">
      <c r="A161" t="n">
        <v>160</v>
      </c>
      <c r="B161" t="inlineStr">
        <is>
          <t>Business, administration and law</t>
        </is>
      </c>
      <c r="C161" s="9" t="n">
        <v>2.88</v>
      </c>
      <c r="D161" t="n">
        <v>3</v>
      </c>
      <c r="E161" t="n">
        <v>0</v>
      </c>
      <c r="F161" t="n">
        <v>0</v>
      </c>
      <c r="G161" s="10" t="n">
        <v>1930</v>
      </c>
      <c r="H161" t="n">
        <v>1</v>
      </c>
      <c r="I161" s="11">
        <f>C161-CGPA_Mean</f>
        <v/>
      </c>
      <c r="J161">
        <f>D161</f>
        <v/>
      </c>
      <c r="K161">
        <f>E161</f>
        <v/>
      </c>
      <c r="L161">
        <f>F161</f>
        <v/>
      </c>
      <c r="M161" s="11">
        <f>I161*K161</f>
        <v/>
      </c>
      <c r="N161" s="12">
        <f>LN(G161)</f>
        <v/>
      </c>
      <c r="O161" s="12">
        <f>H161*Beta_0+I161*Beta_1+J161*Beta_2+K161*Beta_3+L161*Beta_4+M161*Beta_5</f>
        <v/>
      </c>
      <c r="P161" s="12">
        <f>N161-O161</f>
        <v/>
      </c>
      <c r="Q161" s="13">
        <f>EXP(O161)*Smearing_Factor</f>
        <v/>
      </c>
    </row>
    <row r="162">
      <c r="A162" t="n">
        <v>161</v>
      </c>
      <c r="B162" t="inlineStr">
        <is>
          <t>Business, administration and law</t>
        </is>
      </c>
      <c r="C162" s="9" t="n">
        <v>2.95</v>
      </c>
      <c r="D162" t="n">
        <v>6</v>
      </c>
      <c r="E162" t="n">
        <v>0</v>
      </c>
      <c r="F162" t="n">
        <v>1</v>
      </c>
      <c r="G162" s="10" t="n">
        <v>8460</v>
      </c>
      <c r="H162" t="n">
        <v>1</v>
      </c>
      <c r="I162" s="11">
        <f>C162-CGPA_Mean</f>
        <v/>
      </c>
      <c r="J162">
        <f>D162</f>
        <v/>
      </c>
      <c r="K162">
        <f>E162</f>
        <v/>
      </c>
      <c r="L162">
        <f>F162</f>
        <v/>
      </c>
      <c r="M162" s="11">
        <f>I162*K162</f>
        <v/>
      </c>
      <c r="N162" s="12">
        <f>LN(G162)</f>
        <v/>
      </c>
      <c r="O162" s="12">
        <f>H162*Beta_0+I162*Beta_1+J162*Beta_2+K162*Beta_3+L162*Beta_4+M162*Beta_5</f>
        <v/>
      </c>
      <c r="P162" s="12">
        <f>N162-O162</f>
        <v/>
      </c>
      <c r="Q162" s="13">
        <f>EXP(O162)*Smearing_Factor</f>
        <v/>
      </c>
    </row>
    <row r="163">
      <c r="A163" t="n">
        <v>162</v>
      </c>
      <c r="B163" t="inlineStr">
        <is>
          <t>Social sciences, journalism and information</t>
        </is>
      </c>
      <c r="C163" s="9" t="n">
        <v>3.81</v>
      </c>
      <c r="D163" t="n">
        <v>6</v>
      </c>
      <c r="E163" t="n">
        <v>0</v>
      </c>
      <c r="F163" t="n">
        <v>1</v>
      </c>
      <c r="G163" s="10" t="n">
        <v>1960</v>
      </c>
      <c r="H163" t="n">
        <v>1</v>
      </c>
      <c r="I163" s="11">
        <f>C163-CGPA_Mean</f>
        <v/>
      </c>
      <c r="J163">
        <f>D163</f>
        <v/>
      </c>
      <c r="K163">
        <f>E163</f>
        <v/>
      </c>
      <c r="L163">
        <f>F163</f>
        <v/>
      </c>
      <c r="M163" s="11">
        <f>I163*K163</f>
        <v/>
      </c>
      <c r="N163" s="12">
        <f>LN(G163)</f>
        <v/>
      </c>
      <c r="O163" s="12">
        <f>H163*Beta_0+I163*Beta_1+J163*Beta_2+K163*Beta_3+L163*Beta_4+M163*Beta_5</f>
        <v/>
      </c>
      <c r="P163" s="12">
        <f>N163-O163</f>
        <v/>
      </c>
      <c r="Q163" s="13">
        <f>EXP(O163)*Smearing_Factor</f>
        <v/>
      </c>
    </row>
    <row r="164">
      <c r="A164" t="n">
        <v>163</v>
      </c>
      <c r="B164" t="inlineStr">
        <is>
          <t>Information and communication technologies</t>
        </is>
      </c>
      <c r="C164" s="9" t="n">
        <v>3.81</v>
      </c>
      <c r="D164" t="n">
        <v>3</v>
      </c>
      <c r="E164" t="n">
        <v>1</v>
      </c>
      <c r="F164" t="n">
        <v>0</v>
      </c>
      <c r="G164" s="10" t="n">
        <v>3500</v>
      </c>
      <c r="H164" t="n">
        <v>1</v>
      </c>
      <c r="I164" s="11">
        <f>C164-CGPA_Mean</f>
        <v/>
      </c>
      <c r="J164">
        <f>D164</f>
        <v/>
      </c>
      <c r="K164">
        <f>E164</f>
        <v/>
      </c>
      <c r="L164">
        <f>F164</f>
        <v/>
      </c>
      <c r="M164" s="11">
        <f>I164*K164</f>
        <v/>
      </c>
      <c r="N164" s="12">
        <f>LN(G164)</f>
        <v/>
      </c>
      <c r="O164" s="12">
        <f>H164*Beta_0+I164*Beta_1+J164*Beta_2+K164*Beta_3+L164*Beta_4+M164*Beta_5</f>
        <v/>
      </c>
      <c r="P164" s="12">
        <f>N164-O164</f>
        <v/>
      </c>
      <c r="Q164" s="13">
        <f>EXP(O164)*Smearing_Factor</f>
        <v/>
      </c>
    </row>
    <row r="165">
      <c r="A165" t="n">
        <v>164</v>
      </c>
      <c r="B165" t="inlineStr">
        <is>
          <t>Business, administration and law</t>
        </is>
      </c>
      <c r="C165" s="9" t="n">
        <v>3.31</v>
      </c>
      <c r="D165" t="n">
        <v>6</v>
      </c>
      <c r="E165" t="n">
        <v>0</v>
      </c>
      <c r="F165" t="n">
        <v>0</v>
      </c>
      <c r="G165" s="10" t="n">
        <v>1420</v>
      </c>
      <c r="H165" t="n">
        <v>1</v>
      </c>
      <c r="I165" s="11">
        <f>C165-CGPA_Mean</f>
        <v/>
      </c>
      <c r="J165">
        <f>D165</f>
        <v/>
      </c>
      <c r="K165">
        <f>E165</f>
        <v/>
      </c>
      <c r="L165">
        <f>F165</f>
        <v/>
      </c>
      <c r="M165" s="11">
        <f>I165*K165</f>
        <v/>
      </c>
      <c r="N165" s="12">
        <f>LN(G165)</f>
        <v/>
      </c>
      <c r="O165" s="12">
        <f>H165*Beta_0+I165*Beta_1+J165*Beta_2+K165*Beta_3+L165*Beta_4+M165*Beta_5</f>
        <v/>
      </c>
      <c r="P165" s="12">
        <f>N165-O165</f>
        <v/>
      </c>
      <c r="Q165" s="13">
        <f>EXP(O165)*Smearing_Factor</f>
        <v/>
      </c>
    </row>
    <row r="166">
      <c r="A166" t="n">
        <v>165</v>
      </c>
      <c r="B166" t="inlineStr">
        <is>
          <t>Engineering, manufacturing and construction</t>
        </is>
      </c>
      <c r="C166" s="9" t="n">
        <v>3.46</v>
      </c>
      <c r="D166" t="n">
        <v>6</v>
      </c>
      <c r="E166" t="n">
        <v>1</v>
      </c>
      <c r="F166" t="n">
        <v>0</v>
      </c>
      <c r="G166" s="10" t="n">
        <v>2410</v>
      </c>
      <c r="H166" t="n">
        <v>1</v>
      </c>
      <c r="I166" s="11">
        <f>C166-CGPA_Mean</f>
        <v/>
      </c>
      <c r="J166">
        <f>D166</f>
        <v/>
      </c>
      <c r="K166">
        <f>E166</f>
        <v/>
      </c>
      <c r="L166">
        <f>F166</f>
        <v/>
      </c>
      <c r="M166" s="11">
        <f>I166*K166</f>
        <v/>
      </c>
      <c r="N166" s="12">
        <f>LN(G166)</f>
        <v/>
      </c>
      <c r="O166" s="12">
        <f>H166*Beta_0+I166*Beta_1+J166*Beta_2+K166*Beta_3+L166*Beta_4+M166*Beta_5</f>
        <v/>
      </c>
      <c r="P166" s="12">
        <f>N166-O166</f>
        <v/>
      </c>
      <c r="Q166" s="13">
        <f>EXP(O166)*Smearing_Factor</f>
        <v/>
      </c>
    </row>
    <row r="167">
      <c r="A167" t="n">
        <v>166</v>
      </c>
      <c r="B167" t="inlineStr">
        <is>
          <t>Information and communication technologies</t>
        </is>
      </c>
      <c r="C167" s="9" t="n">
        <v>2.42</v>
      </c>
      <c r="D167" t="n">
        <v>6</v>
      </c>
      <c r="E167" t="n">
        <v>1</v>
      </c>
      <c r="F167" t="n">
        <v>0</v>
      </c>
      <c r="G167" s="10" t="n">
        <v>2110</v>
      </c>
      <c r="H167" t="n">
        <v>1</v>
      </c>
      <c r="I167" s="11">
        <f>C167-CGPA_Mean</f>
        <v/>
      </c>
      <c r="J167">
        <f>D167</f>
        <v/>
      </c>
      <c r="K167">
        <f>E167</f>
        <v/>
      </c>
      <c r="L167">
        <f>F167</f>
        <v/>
      </c>
      <c r="M167" s="11">
        <f>I167*K167</f>
        <v/>
      </c>
      <c r="N167" s="12">
        <f>LN(G167)</f>
        <v/>
      </c>
      <c r="O167" s="12">
        <f>H167*Beta_0+I167*Beta_1+J167*Beta_2+K167*Beta_3+L167*Beta_4+M167*Beta_5</f>
        <v/>
      </c>
      <c r="P167" s="12">
        <f>N167-O167</f>
        <v/>
      </c>
      <c r="Q167" s="13">
        <f>EXP(O167)*Smearing_Factor</f>
        <v/>
      </c>
    </row>
    <row r="168">
      <c r="A168" t="n">
        <v>167</v>
      </c>
      <c r="B168" t="inlineStr">
        <is>
          <t>Health and welfare</t>
        </is>
      </c>
      <c r="C168" s="9" t="n">
        <v>3.21</v>
      </c>
      <c r="D168" t="n">
        <v>3</v>
      </c>
      <c r="E168" t="n">
        <v>0</v>
      </c>
      <c r="F168" t="n">
        <v>1</v>
      </c>
      <c r="G168" s="10" t="n">
        <v>4180</v>
      </c>
      <c r="H168" t="n">
        <v>1</v>
      </c>
      <c r="I168" s="11">
        <f>C168-CGPA_Mean</f>
        <v/>
      </c>
      <c r="J168">
        <f>D168</f>
        <v/>
      </c>
      <c r="K168">
        <f>E168</f>
        <v/>
      </c>
      <c r="L168">
        <f>F168</f>
        <v/>
      </c>
      <c r="M168" s="11">
        <f>I168*K168</f>
        <v/>
      </c>
      <c r="N168" s="12">
        <f>LN(G168)</f>
        <v/>
      </c>
      <c r="O168" s="12">
        <f>H168*Beta_0+I168*Beta_1+J168*Beta_2+K168*Beta_3+L168*Beta_4+M168*Beta_5</f>
        <v/>
      </c>
      <c r="P168" s="12">
        <f>N168-O168</f>
        <v/>
      </c>
      <c r="Q168" s="13">
        <f>EXP(O168)*Smearing_Factor</f>
        <v/>
      </c>
    </row>
    <row r="169">
      <c r="A169" t="n">
        <v>168</v>
      </c>
      <c r="B169" t="inlineStr">
        <is>
          <t>Arts and humanities</t>
        </is>
      </c>
      <c r="C169" s="9" t="n">
        <v>3.77</v>
      </c>
      <c r="D169" t="n">
        <v>6</v>
      </c>
      <c r="E169" t="n">
        <v>0</v>
      </c>
      <c r="F169" t="n">
        <v>1</v>
      </c>
      <c r="G169" s="10" t="n">
        <v>3790</v>
      </c>
      <c r="H169" t="n">
        <v>1</v>
      </c>
      <c r="I169" s="11">
        <f>C169-CGPA_Mean</f>
        <v/>
      </c>
      <c r="J169">
        <f>D169</f>
        <v/>
      </c>
      <c r="K169">
        <f>E169</f>
        <v/>
      </c>
      <c r="L169">
        <f>F169</f>
        <v/>
      </c>
      <c r="M169" s="11">
        <f>I169*K169</f>
        <v/>
      </c>
      <c r="N169" s="12">
        <f>LN(G169)</f>
        <v/>
      </c>
      <c r="O169" s="12">
        <f>H169*Beta_0+I169*Beta_1+J169*Beta_2+K169*Beta_3+L169*Beta_4+M169*Beta_5</f>
        <v/>
      </c>
      <c r="P169" s="12">
        <f>N169-O169</f>
        <v/>
      </c>
      <c r="Q169" s="13">
        <f>EXP(O169)*Smearing_Factor</f>
        <v/>
      </c>
    </row>
    <row r="170">
      <c r="A170" t="n">
        <v>169</v>
      </c>
      <c r="B170" t="inlineStr">
        <is>
          <t>Social sciences, journalism and information</t>
        </is>
      </c>
      <c r="C170" s="9" t="n">
        <v>3.06</v>
      </c>
      <c r="D170" t="n">
        <v>6</v>
      </c>
      <c r="E170" t="n">
        <v>0</v>
      </c>
      <c r="F170" t="n">
        <v>0</v>
      </c>
      <c r="G170" s="10" t="n">
        <v>1230</v>
      </c>
      <c r="H170" t="n">
        <v>1</v>
      </c>
      <c r="I170" s="11">
        <f>C170-CGPA_Mean</f>
        <v/>
      </c>
      <c r="J170">
        <f>D170</f>
        <v/>
      </c>
      <c r="K170">
        <f>E170</f>
        <v/>
      </c>
      <c r="L170">
        <f>F170</f>
        <v/>
      </c>
      <c r="M170" s="11">
        <f>I170*K170</f>
        <v/>
      </c>
      <c r="N170" s="12">
        <f>LN(G170)</f>
        <v/>
      </c>
      <c r="O170" s="12">
        <f>H170*Beta_0+I170*Beta_1+J170*Beta_2+K170*Beta_3+L170*Beta_4+M170*Beta_5</f>
        <v/>
      </c>
      <c r="P170" s="12">
        <f>N170-O170</f>
        <v/>
      </c>
      <c r="Q170" s="13">
        <f>EXP(O170)*Smearing_Factor</f>
        <v/>
      </c>
    </row>
    <row r="171">
      <c r="A171" t="n">
        <v>170</v>
      </c>
      <c r="B171" t="inlineStr">
        <is>
          <t>Services</t>
        </is>
      </c>
      <c r="C171" s="9" t="n">
        <v>3.19</v>
      </c>
      <c r="D171" t="n">
        <v>6</v>
      </c>
      <c r="E171" t="n">
        <v>0</v>
      </c>
      <c r="F171" t="n">
        <v>1</v>
      </c>
      <c r="G171" s="10" t="n">
        <v>3500</v>
      </c>
      <c r="H171" t="n">
        <v>1</v>
      </c>
      <c r="I171" s="11">
        <f>C171-CGPA_Mean</f>
        <v/>
      </c>
      <c r="J171">
        <f>D171</f>
        <v/>
      </c>
      <c r="K171">
        <f>E171</f>
        <v/>
      </c>
      <c r="L171">
        <f>F171</f>
        <v/>
      </c>
      <c r="M171" s="11">
        <f>I171*K171</f>
        <v/>
      </c>
      <c r="N171" s="12">
        <f>LN(G171)</f>
        <v/>
      </c>
      <c r="O171" s="12">
        <f>H171*Beta_0+I171*Beta_1+J171*Beta_2+K171*Beta_3+L171*Beta_4+M171*Beta_5</f>
        <v/>
      </c>
      <c r="P171" s="12">
        <f>N171-O171</f>
        <v/>
      </c>
      <c r="Q171" s="13">
        <f>EXP(O171)*Smearing_Factor</f>
        <v/>
      </c>
    </row>
    <row r="172">
      <c r="A172" t="n">
        <v>171</v>
      </c>
      <c r="B172" t="inlineStr">
        <is>
          <t>Arts and humanities</t>
        </is>
      </c>
      <c r="C172" s="9" t="n">
        <v>3</v>
      </c>
      <c r="D172" t="n">
        <v>6</v>
      </c>
      <c r="E172" t="n">
        <v>0</v>
      </c>
      <c r="F172" t="n">
        <v>0</v>
      </c>
      <c r="G172" s="10" t="n">
        <v>640</v>
      </c>
      <c r="H172" t="n">
        <v>1</v>
      </c>
      <c r="I172" s="11">
        <f>C172-CGPA_Mean</f>
        <v/>
      </c>
      <c r="J172">
        <f>D172</f>
        <v/>
      </c>
      <c r="K172">
        <f>E172</f>
        <v/>
      </c>
      <c r="L172">
        <f>F172</f>
        <v/>
      </c>
      <c r="M172" s="11">
        <f>I172*K172</f>
        <v/>
      </c>
      <c r="N172" s="12">
        <f>LN(G172)</f>
        <v/>
      </c>
      <c r="O172" s="12">
        <f>H172*Beta_0+I172*Beta_1+J172*Beta_2+K172*Beta_3+L172*Beta_4+M172*Beta_5</f>
        <v/>
      </c>
      <c r="P172" s="12">
        <f>N172-O172</f>
        <v/>
      </c>
      <c r="Q172" s="13">
        <f>EXP(O172)*Smearing_Factor</f>
        <v/>
      </c>
    </row>
    <row r="173">
      <c r="A173" t="n">
        <v>172</v>
      </c>
      <c r="B173" t="inlineStr">
        <is>
          <t>Social sciences, journalism and information</t>
        </is>
      </c>
      <c r="C173" s="9" t="n">
        <v>3.5</v>
      </c>
      <c r="D173" t="n">
        <v>9</v>
      </c>
      <c r="E173" t="n">
        <v>0</v>
      </c>
      <c r="F173" t="n">
        <v>1</v>
      </c>
      <c r="G173" s="10" t="n">
        <v>3310</v>
      </c>
      <c r="H173" t="n">
        <v>1</v>
      </c>
      <c r="I173" s="11">
        <f>C173-CGPA_Mean</f>
        <v/>
      </c>
      <c r="J173">
        <f>D173</f>
        <v/>
      </c>
      <c r="K173">
        <f>E173</f>
        <v/>
      </c>
      <c r="L173">
        <f>F173</f>
        <v/>
      </c>
      <c r="M173" s="11">
        <f>I173*K173</f>
        <v/>
      </c>
      <c r="N173" s="12">
        <f>LN(G173)</f>
        <v/>
      </c>
      <c r="O173" s="12">
        <f>H173*Beta_0+I173*Beta_1+J173*Beta_2+K173*Beta_3+L173*Beta_4+M173*Beta_5</f>
        <v/>
      </c>
      <c r="P173" s="12">
        <f>N173-O173</f>
        <v/>
      </c>
      <c r="Q173" s="13">
        <f>EXP(O173)*Smearing_Factor</f>
        <v/>
      </c>
    </row>
    <row r="174">
      <c r="A174" t="n">
        <v>173</v>
      </c>
      <c r="B174" t="inlineStr">
        <is>
          <t>Business, administration and law</t>
        </is>
      </c>
      <c r="C174" s="9" t="n">
        <v>2.91</v>
      </c>
      <c r="D174" t="n">
        <v>3</v>
      </c>
      <c r="E174" t="n">
        <v>0</v>
      </c>
      <c r="F174" t="n">
        <v>1</v>
      </c>
      <c r="G174" s="10" t="n">
        <v>1530</v>
      </c>
      <c r="H174" t="n">
        <v>1</v>
      </c>
      <c r="I174" s="11">
        <f>C174-CGPA_Mean</f>
        <v/>
      </c>
      <c r="J174">
        <f>D174</f>
        <v/>
      </c>
      <c r="K174">
        <f>E174</f>
        <v/>
      </c>
      <c r="L174">
        <f>F174</f>
        <v/>
      </c>
      <c r="M174" s="11">
        <f>I174*K174</f>
        <v/>
      </c>
      <c r="N174" s="12">
        <f>LN(G174)</f>
        <v/>
      </c>
      <c r="O174" s="12">
        <f>H174*Beta_0+I174*Beta_1+J174*Beta_2+K174*Beta_3+L174*Beta_4+M174*Beta_5</f>
        <v/>
      </c>
      <c r="P174" s="12">
        <f>N174-O174</f>
        <v/>
      </c>
      <c r="Q174" s="13">
        <f>EXP(O174)*Smearing_Factor</f>
        <v/>
      </c>
    </row>
    <row r="175">
      <c r="A175" t="n">
        <v>174</v>
      </c>
      <c r="B175" t="inlineStr">
        <is>
          <t>Engineering, manufacturing and construction</t>
        </is>
      </c>
      <c r="C175" s="9" t="n">
        <v>3</v>
      </c>
      <c r="D175" t="n">
        <v>9</v>
      </c>
      <c r="E175" t="n">
        <v>1</v>
      </c>
      <c r="F175" t="n">
        <v>0</v>
      </c>
      <c r="G175" s="10" t="n">
        <v>2910</v>
      </c>
      <c r="H175" t="n">
        <v>1</v>
      </c>
      <c r="I175" s="11">
        <f>C175-CGPA_Mean</f>
        <v/>
      </c>
      <c r="J175">
        <f>D175</f>
        <v/>
      </c>
      <c r="K175">
        <f>E175</f>
        <v/>
      </c>
      <c r="L175">
        <f>F175</f>
        <v/>
      </c>
      <c r="M175" s="11">
        <f>I175*K175</f>
        <v/>
      </c>
      <c r="N175" s="12">
        <f>LN(G175)</f>
        <v/>
      </c>
      <c r="O175" s="12">
        <f>H175*Beta_0+I175*Beta_1+J175*Beta_2+K175*Beta_3+L175*Beta_4+M175*Beta_5</f>
        <v/>
      </c>
      <c r="P175" s="12">
        <f>N175-O175</f>
        <v/>
      </c>
      <c r="Q175" s="13">
        <f>EXP(O175)*Smearing_Factor</f>
        <v/>
      </c>
    </row>
    <row r="176">
      <c r="A176" t="n">
        <v>175</v>
      </c>
      <c r="B176" t="inlineStr">
        <is>
          <t>Business, administration and law</t>
        </is>
      </c>
      <c r="C176" s="9" t="n">
        <v>2.79</v>
      </c>
      <c r="D176" t="n">
        <v>6</v>
      </c>
      <c r="E176" t="n">
        <v>0</v>
      </c>
      <c r="F176" t="n">
        <v>0</v>
      </c>
      <c r="G176" s="10" t="n">
        <v>2590</v>
      </c>
      <c r="H176" t="n">
        <v>1</v>
      </c>
      <c r="I176" s="11">
        <f>C176-CGPA_Mean</f>
        <v/>
      </c>
      <c r="J176">
        <f>D176</f>
        <v/>
      </c>
      <c r="K176">
        <f>E176</f>
        <v/>
      </c>
      <c r="L176">
        <f>F176</f>
        <v/>
      </c>
      <c r="M176" s="11">
        <f>I176*K176</f>
        <v/>
      </c>
      <c r="N176" s="12">
        <f>LN(G176)</f>
        <v/>
      </c>
      <c r="O176" s="12">
        <f>H176*Beta_0+I176*Beta_1+J176*Beta_2+K176*Beta_3+L176*Beta_4+M176*Beta_5</f>
        <v/>
      </c>
      <c r="P176" s="12">
        <f>N176-O176</f>
        <v/>
      </c>
      <c r="Q176" s="13">
        <f>EXP(O176)*Smearing_Factor</f>
        <v/>
      </c>
    </row>
    <row r="177">
      <c r="A177" t="n">
        <v>176</v>
      </c>
      <c r="B177" t="inlineStr">
        <is>
          <t>Services</t>
        </is>
      </c>
      <c r="C177" s="9" t="n">
        <v>3.11</v>
      </c>
      <c r="D177" t="n">
        <v>3</v>
      </c>
      <c r="E177" t="n">
        <v>0</v>
      </c>
      <c r="F177" t="n">
        <v>1</v>
      </c>
      <c r="G177" s="10" t="n">
        <v>2120</v>
      </c>
      <c r="H177" t="n">
        <v>1</v>
      </c>
      <c r="I177" s="11">
        <f>C177-CGPA_Mean</f>
        <v/>
      </c>
      <c r="J177">
        <f>D177</f>
        <v/>
      </c>
      <c r="K177">
        <f>E177</f>
        <v/>
      </c>
      <c r="L177">
        <f>F177</f>
        <v/>
      </c>
      <c r="M177" s="11">
        <f>I177*K177</f>
        <v/>
      </c>
      <c r="N177" s="12">
        <f>LN(G177)</f>
        <v/>
      </c>
      <c r="O177" s="12">
        <f>H177*Beta_0+I177*Beta_1+J177*Beta_2+K177*Beta_3+L177*Beta_4+M177*Beta_5</f>
        <v/>
      </c>
      <c r="P177" s="12">
        <f>N177-O177</f>
        <v/>
      </c>
      <c r="Q177" s="13">
        <f>EXP(O177)*Smearing_Factor</f>
        <v/>
      </c>
    </row>
    <row r="178">
      <c r="A178" t="n">
        <v>177</v>
      </c>
      <c r="B178" t="inlineStr">
        <is>
          <t>Business, administration and law</t>
        </is>
      </c>
      <c r="C178" s="9" t="n">
        <v>3.23</v>
      </c>
      <c r="D178" t="n">
        <v>9</v>
      </c>
      <c r="E178" t="n">
        <v>0</v>
      </c>
      <c r="F178" t="n">
        <v>1</v>
      </c>
      <c r="G178" s="10" t="n">
        <v>2660</v>
      </c>
      <c r="H178" t="n">
        <v>1</v>
      </c>
      <c r="I178" s="11">
        <f>C178-CGPA_Mean</f>
        <v/>
      </c>
      <c r="J178">
        <f>D178</f>
        <v/>
      </c>
      <c r="K178">
        <f>E178</f>
        <v/>
      </c>
      <c r="L178">
        <f>F178</f>
        <v/>
      </c>
      <c r="M178" s="11">
        <f>I178*K178</f>
        <v/>
      </c>
      <c r="N178" s="12">
        <f>LN(G178)</f>
        <v/>
      </c>
      <c r="O178" s="12">
        <f>H178*Beta_0+I178*Beta_1+J178*Beta_2+K178*Beta_3+L178*Beta_4+M178*Beta_5</f>
        <v/>
      </c>
      <c r="P178" s="12">
        <f>N178-O178</f>
        <v/>
      </c>
      <c r="Q178" s="13">
        <f>EXP(O178)*Smearing_Factor</f>
        <v/>
      </c>
    </row>
    <row r="179">
      <c r="A179" t="n">
        <v>178</v>
      </c>
      <c r="B179" t="inlineStr">
        <is>
          <t>Business, administration and law</t>
        </is>
      </c>
      <c r="C179" s="9" t="n">
        <v>3.17</v>
      </c>
      <c r="D179" t="n">
        <v>6</v>
      </c>
      <c r="E179" t="n">
        <v>0</v>
      </c>
      <c r="F179" t="n">
        <v>1</v>
      </c>
      <c r="G179" s="10" t="n">
        <v>2500</v>
      </c>
      <c r="H179" t="n">
        <v>1</v>
      </c>
      <c r="I179" s="11">
        <f>C179-CGPA_Mean</f>
        <v/>
      </c>
      <c r="J179">
        <f>D179</f>
        <v/>
      </c>
      <c r="K179">
        <f>E179</f>
        <v/>
      </c>
      <c r="L179">
        <f>F179</f>
        <v/>
      </c>
      <c r="M179" s="11">
        <f>I179*K179</f>
        <v/>
      </c>
      <c r="N179" s="12">
        <f>LN(G179)</f>
        <v/>
      </c>
      <c r="O179" s="12">
        <f>H179*Beta_0+I179*Beta_1+J179*Beta_2+K179*Beta_3+L179*Beta_4+M179*Beta_5</f>
        <v/>
      </c>
      <c r="P179" s="12">
        <f>N179-O179</f>
        <v/>
      </c>
      <c r="Q179" s="13">
        <f>EXP(O179)*Smearing_Factor</f>
        <v/>
      </c>
    </row>
    <row r="180">
      <c r="A180" t="n">
        <v>179</v>
      </c>
      <c r="B180" t="inlineStr">
        <is>
          <t>Arts and humanities</t>
        </is>
      </c>
      <c r="C180" s="9" t="n">
        <v>3.26</v>
      </c>
      <c r="D180" t="n">
        <v>6</v>
      </c>
      <c r="E180" t="n">
        <v>0</v>
      </c>
      <c r="F180" t="n">
        <v>1</v>
      </c>
      <c r="G180" s="10" t="n">
        <v>1130</v>
      </c>
      <c r="H180" t="n">
        <v>1</v>
      </c>
      <c r="I180" s="11">
        <f>C180-CGPA_Mean</f>
        <v/>
      </c>
      <c r="J180">
        <f>D180</f>
        <v/>
      </c>
      <c r="K180">
        <f>E180</f>
        <v/>
      </c>
      <c r="L180">
        <f>F180</f>
        <v/>
      </c>
      <c r="M180" s="11">
        <f>I180*K180</f>
        <v/>
      </c>
      <c r="N180" s="12">
        <f>LN(G180)</f>
        <v/>
      </c>
      <c r="O180" s="12">
        <f>H180*Beta_0+I180*Beta_1+J180*Beta_2+K180*Beta_3+L180*Beta_4+M180*Beta_5</f>
        <v/>
      </c>
      <c r="P180" s="12">
        <f>N180-O180</f>
        <v/>
      </c>
      <c r="Q180" s="13">
        <f>EXP(O180)*Smearing_Factor</f>
        <v/>
      </c>
    </row>
    <row r="181">
      <c r="A181" t="n">
        <v>180</v>
      </c>
      <c r="B181" t="inlineStr">
        <is>
          <t>Engineering, manufacturing and construction</t>
        </is>
      </c>
      <c r="C181" s="9" t="n">
        <v>3.82</v>
      </c>
      <c r="D181" t="n">
        <v>6</v>
      </c>
      <c r="E181" t="n">
        <v>1</v>
      </c>
      <c r="F181" t="n">
        <v>0</v>
      </c>
      <c r="G181" s="10" t="n">
        <v>730</v>
      </c>
      <c r="H181" t="n">
        <v>1</v>
      </c>
      <c r="I181" s="11">
        <f>C181-CGPA_Mean</f>
        <v/>
      </c>
      <c r="J181">
        <f>D181</f>
        <v/>
      </c>
      <c r="K181">
        <f>E181</f>
        <v/>
      </c>
      <c r="L181">
        <f>F181</f>
        <v/>
      </c>
      <c r="M181" s="11">
        <f>I181*K181</f>
        <v/>
      </c>
      <c r="N181" s="12">
        <f>LN(G181)</f>
        <v/>
      </c>
      <c r="O181" s="12">
        <f>H181*Beta_0+I181*Beta_1+J181*Beta_2+K181*Beta_3+L181*Beta_4+M181*Beta_5</f>
        <v/>
      </c>
      <c r="P181" s="12">
        <f>N181-O181</f>
        <v/>
      </c>
      <c r="Q181" s="13">
        <f>EXP(O181)*Smearing_Factor</f>
        <v/>
      </c>
    </row>
    <row r="182">
      <c r="A182" t="n">
        <v>181</v>
      </c>
      <c r="B182" t="inlineStr">
        <is>
          <t>Natural sciences, mathematics and statistics</t>
        </is>
      </c>
      <c r="C182" s="9" t="n">
        <v>2.99</v>
      </c>
      <c r="D182" t="n">
        <v>6</v>
      </c>
      <c r="E182" t="n">
        <v>1</v>
      </c>
      <c r="F182" t="n">
        <v>0</v>
      </c>
      <c r="G182" s="10" t="n">
        <v>950</v>
      </c>
      <c r="H182" t="n">
        <v>1</v>
      </c>
      <c r="I182" s="11">
        <f>C182-CGPA_Mean</f>
        <v/>
      </c>
      <c r="J182">
        <f>D182</f>
        <v/>
      </c>
      <c r="K182">
        <f>E182</f>
        <v/>
      </c>
      <c r="L182">
        <f>F182</f>
        <v/>
      </c>
      <c r="M182" s="11">
        <f>I182*K182</f>
        <v/>
      </c>
      <c r="N182" s="12">
        <f>LN(G182)</f>
        <v/>
      </c>
      <c r="O182" s="12">
        <f>H182*Beta_0+I182*Beta_1+J182*Beta_2+K182*Beta_3+L182*Beta_4+M182*Beta_5</f>
        <v/>
      </c>
      <c r="P182" s="12">
        <f>N182-O182</f>
        <v/>
      </c>
      <c r="Q182" s="13">
        <f>EXP(O182)*Smearing_Factor</f>
        <v/>
      </c>
    </row>
    <row r="183">
      <c r="A183" t="n">
        <v>182</v>
      </c>
      <c r="B183" t="inlineStr">
        <is>
          <t>Business, administration and law</t>
        </is>
      </c>
      <c r="C183" s="9" t="n">
        <v>2.62</v>
      </c>
      <c r="D183" t="n">
        <v>6</v>
      </c>
      <c r="E183" t="n">
        <v>0</v>
      </c>
      <c r="F183" t="n">
        <v>0</v>
      </c>
      <c r="G183" s="10" t="n">
        <v>700</v>
      </c>
      <c r="H183" t="n">
        <v>1</v>
      </c>
      <c r="I183" s="11">
        <f>C183-CGPA_Mean</f>
        <v/>
      </c>
      <c r="J183">
        <f>D183</f>
        <v/>
      </c>
      <c r="K183">
        <f>E183</f>
        <v/>
      </c>
      <c r="L183">
        <f>F183</f>
        <v/>
      </c>
      <c r="M183" s="11">
        <f>I183*K183</f>
        <v/>
      </c>
      <c r="N183" s="12">
        <f>LN(G183)</f>
        <v/>
      </c>
      <c r="O183" s="12">
        <f>H183*Beta_0+I183*Beta_1+J183*Beta_2+K183*Beta_3+L183*Beta_4+M183*Beta_5</f>
        <v/>
      </c>
      <c r="P183" s="12">
        <f>N183-O183</f>
        <v/>
      </c>
      <c r="Q183" s="13">
        <f>EXP(O183)*Smearing_Factor</f>
        <v/>
      </c>
    </row>
    <row r="184">
      <c r="A184" t="n">
        <v>183</v>
      </c>
      <c r="B184" t="inlineStr">
        <is>
          <t>Engineering, manufacturing and construction</t>
        </is>
      </c>
      <c r="C184" s="9" t="n">
        <v>3.22</v>
      </c>
      <c r="D184" t="n">
        <v>9</v>
      </c>
      <c r="E184" t="n">
        <v>1</v>
      </c>
      <c r="F184" t="n">
        <v>0</v>
      </c>
      <c r="G184" s="10" t="n">
        <v>2380</v>
      </c>
      <c r="H184" t="n">
        <v>1</v>
      </c>
      <c r="I184" s="11">
        <f>C184-CGPA_Mean</f>
        <v/>
      </c>
      <c r="J184">
        <f>D184</f>
        <v/>
      </c>
      <c r="K184">
        <f>E184</f>
        <v/>
      </c>
      <c r="L184">
        <f>F184</f>
        <v/>
      </c>
      <c r="M184" s="11">
        <f>I184*K184</f>
        <v/>
      </c>
      <c r="N184" s="12">
        <f>LN(G184)</f>
        <v/>
      </c>
      <c r="O184" s="12">
        <f>H184*Beta_0+I184*Beta_1+J184*Beta_2+K184*Beta_3+L184*Beta_4+M184*Beta_5</f>
        <v/>
      </c>
      <c r="P184" s="12">
        <f>N184-O184</f>
        <v/>
      </c>
      <c r="Q184" s="13">
        <f>EXP(O184)*Smearing_Factor</f>
        <v/>
      </c>
    </row>
    <row r="185">
      <c r="A185" t="n">
        <v>184</v>
      </c>
      <c r="B185" t="inlineStr">
        <is>
          <t>Social sciences, journalism and information</t>
        </is>
      </c>
      <c r="C185" s="9" t="n">
        <v>3.13</v>
      </c>
      <c r="D185" t="n">
        <v>6</v>
      </c>
      <c r="E185" t="n">
        <v>0</v>
      </c>
      <c r="F185" t="n">
        <v>0</v>
      </c>
      <c r="G185" s="10" t="n">
        <v>880</v>
      </c>
      <c r="H185" t="n">
        <v>1</v>
      </c>
      <c r="I185" s="11">
        <f>C185-CGPA_Mean</f>
        <v/>
      </c>
      <c r="J185">
        <f>D185</f>
        <v/>
      </c>
      <c r="K185">
        <f>E185</f>
        <v/>
      </c>
      <c r="L185">
        <f>F185</f>
        <v/>
      </c>
      <c r="M185" s="11">
        <f>I185*K185</f>
        <v/>
      </c>
      <c r="N185" s="12">
        <f>LN(G185)</f>
        <v/>
      </c>
      <c r="O185" s="12">
        <f>H185*Beta_0+I185*Beta_1+J185*Beta_2+K185*Beta_3+L185*Beta_4+M185*Beta_5</f>
        <v/>
      </c>
      <c r="P185" s="12">
        <f>N185-O185</f>
        <v/>
      </c>
      <c r="Q185" s="13">
        <f>EXP(O185)*Smearing_Factor</f>
        <v/>
      </c>
    </row>
    <row r="186">
      <c r="A186" t="n">
        <v>185</v>
      </c>
      <c r="B186" t="inlineStr">
        <is>
          <t>Arts and humanities</t>
        </is>
      </c>
      <c r="C186" s="9" t="n">
        <v>3.59</v>
      </c>
      <c r="D186" t="n">
        <v>6</v>
      </c>
      <c r="E186" t="n">
        <v>0</v>
      </c>
      <c r="F186" t="n">
        <v>0</v>
      </c>
      <c r="G186" s="10" t="n">
        <v>1450</v>
      </c>
      <c r="H186" t="n">
        <v>1</v>
      </c>
      <c r="I186" s="11">
        <f>C186-CGPA_Mean</f>
        <v/>
      </c>
      <c r="J186">
        <f>D186</f>
        <v/>
      </c>
      <c r="K186">
        <f>E186</f>
        <v/>
      </c>
      <c r="L186">
        <f>F186</f>
        <v/>
      </c>
      <c r="M186" s="11">
        <f>I186*K186</f>
        <v/>
      </c>
      <c r="N186" s="12">
        <f>LN(G186)</f>
        <v/>
      </c>
      <c r="O186" s="12">
        <f>H186*Beta_0+I186*Beta_1+J186*Beta_2+K186*Beta_3+L186*Beta_4+M186*Beta_5</f>
        <v/>
      </c>
      <c r="P186" s="12">
        <f>N186-O186</f>
        <v/>
      </c>
      <c r="Q186" s="13">
        <f>EXP(O186)*Smearing_Factor</f>
        <v/>
      </c>
    </row>
    <row r="187">
      <c r="A187" t="n">
        <v>186</v>
      </c>
      <c r="B187" t="inlineStr">
        <is>
          <t>Engineering, manufacturing and construction</t>
        </is>
      </c>
      <c r="C187" s="9" t="n">
        <v>3.72</v>
      </c>
      <c r="D187" t="n">
        <v>3</v>
      </c>
      <c r="E187" t="n">
        <v>1</v>
      </c>
      <c r="F187" t="n">
        <v>1</v>
      </c>
      <c r="G187" s="10" t="n">
        <v>2180</v>
      </c>
      <c r="H187" t="n">
        <v>1</v>
      </c>
      <c r="I187" s="11">
        <f>C187-CGPA_Mean</f>
        <v/>
      </c>
      <c r="J187">
        <f>D187</f>
        <v/>
      </c>
      <c r="K187">
        <f>E187</f>
        <v/>
      </c>
      <c r="L187">
        <f>F187</f>
        <v/>
      </c>
      <c r="M187" s="11">
        <f>I187*K187</f>
        <v/>
      </c>
      <c r="N187" s="12">
        <f>LN(G187)</f>
        <v/>
      </c>
      <c r="O187" s="12">
        <f>H187*Beta_0+I187*Beta_1+J187*Beta_2+K187*Beta_3+L187*Beta_4+M187*Beta_5</f>
        <v/>
      </c>
      <c r="P187" s="12">
        <f>N187-O187</f>
        <v/>
      </c>
      <c r="Q187" s="13">
        <f>EXP(O187)*Smearing_Factor</f>
        <v/>
      </c>
    </row>
    <row r="188">
      <c r="A188" t="n">
        <v>187</v>
      </c>
      <c r="B188" t="inlineStr">
        <is>
          <t>Information and communication technologies</t>
        </is>
      </c>
      <c r="C188" s="9" t="n">
        <v>3.09</v>
      </c>
      <c r="D188" t="n">
        <v>3</v>
      </c>
      <c r="E188" t="n">
        <v>1</v>
      </c>
      <c r="F188" t="n">
        <v>0</v>
      </c>
      <c r="G188" s="10" t="n">
        <v>2940</v>
      </c>
      <c r="H188" t="n">
        <v>1</v>
      </c>
      <c r="I188" s="11">
        <f>C188-CGPA_Mean</f>
        <v/>
      </c>
      <c r="J188">
        <f>D188</f>
        <v/>
      </c>
      <c r="K188">
        <f>E188</f>
        <v/>
      </c>
      <c r="L188">
        <f>F188</f>
        <v/>
      </c>
      <c r="M188" s="11">
        <f>I188*K188</f>
        <v/>
      </c>
      <c r="N188" s="12">
        <f>LN(G188)</f>
        <v/>
      </c>
      <c r="O188" s="12">
        <f>H188*Beta_0+I188*Beta_1+J188*Beta_2+K188*Beta_3+L188*Beta_4+M188*Beta_5</f>
        <v/>
      </c>
      <c r="P188" s="12">
        <f>N188-O188</f>
        <v/>
      </c>
      <c r="Q188" s="13">
        <f>EXP(O188)*Smearing_Factor</f>
        <v/>
      </c>
    </row>
    <row r="189">
      <c r="A189" t="n">
        <v>188</v>
      </c>
      <c r="B189" t="inlineStr">
        <is>
          <t>Engineering, manufacturing and construction</t>
        </is>
      </c>
      <c r="C189" s="9" t="n">
        <v>3.06</v>
      </c>
      <c r="D189" t="n">
        <v>6</v>
      </c>
      <c r="E189" t="n">
        <v>1</v>
      </c>
      <c r="F189" t="n">
        <v>0</v>
      </c>
      <c r="G189" s="10" t="n">
        <v>3890</v>
      </c>
      <c r="H189" t="n">
        <v>1</v>
      </c>
      <c r="I189" s="11">
        <f>C189-CGPA_Mean</f>
        <v/>
      </c>
      <c r="J189">
        <f>D189</f>
        <v/>
      </c>
      <c r="K189">
        <f>E189</f>
        <v/>
      </c>
      <c r="L189">
        <f>F189</f>
        <v/>
      </c>
      <c r="M189" s="11">
        <f>I189*K189</f>
        <v/>
      </c>
      <c r="N189" s="12">
        <f>LN(G189)</f>
        <v/>
      </c>
      <c r="O189" s="12">
        <f>H189*Beta_0+I189*Beta_1+J189*Beta_2+K189*Beta_3+L189*Beta_4+M189*Beta_5</f>
        <v/>
      </c>
      <c r="P189" s="12">
        <f>N189-O189</f>
        <v/>
      </c>
      <c r="Q189" s="13">
        <f>EXP(O189)*Smearing_Factor</f>
        <v/>
      </c>
    </row>
    <row r="190">
      <c r="A190" t="n">
        <v>189</v>
      </c>
      <c r="B190" t="inlineStr">
        <is>
          <t>Information and communication technologies</t>
        </is>
      </c>
      <c r="C190" s="9" t="n">
        <v>3.12</v>
      </c>
      <c r="D190" t="n">
        <v>9</v>
      </c>
      <c r="E190" t="n">
        <v>1</v>
      </c>
      <c r="F190" t="n">
        <v>0</v>
      </c>
      <c r="G190" s="10" t="n">
        <v>1270</v>
      </c>
      <c r="H190" t="n">
        <v>1</v>
      </c>
      <c r="I190" s="11">
        <f>C190-CGPA_Mean</f>
        <v/>
      </c>
      <c r="J190">
        <f>D190</f>
        <v/>
      </c>
      <c r="K190">
        <f>E190</f>
        <v/>
      </c>
      <c r="L190">
        <f>F190</f>
        <v/>
      </c>
      <c r="M190" s="11">
        <f>I190*K190</f>
        <v/>
      </c>
      <c r="N190" s="12">
        <f>LN(G190)</f>
        <v/>
      </c>
      <c r="O190" s="12">
        <f>H190*Beta_0+I190*Beta_1+J190*Beta_2+K190*Beta_3+L190*Beta_4+M190*Beta_5</f>
        <v/>
      </c>
      <c r="P190" s="12">
        <f>N190-O190</f>
        <v/>
      </c>
      <c r="Q190" s="13">
        <f>EXP(O190)*Smearing_Factor</f>
        <v/>
      </c>
    </row>
    <row r="191">
      <c r="A191" t="n">
        <v>190</v>
      </c>
      <c r="B191" t="inlineStr">
        <is>
          <t>Business, administration and law</t>
        </is>
      </c>
      <c r="C191" s="9" t="n">
        <v>3.61</v>
      </c>
      <c r="D191" t="n">
        <v>3</v>
      </c>
      <c r="E191" t="n">
        <v>0</v>
      </c>
      <c r="F191" t="n">
        <v>0</v>
      </c>
      <c r="G191" s="10" t="n">
        <v>3590</v>
      </c>
      <c r="H191" t="n">
        <v>1</v>
      </c>
      <c r="I191" s="11">
        <f>C191-CGPA_Mean</f>
        <v/>
      </c>
      <c r="J191">
        <f>D191</f>
        <v/>
      </c>
      <c r="K191">
        <f>E191</f>
        <v/>
      </c>
      <c r="L191">
        <f>F191</f>
        <v/>
      </c>
      <c r="M191" s="11">
        <f>I191*K191</f>
        <v/>
      </c>
      <c r="N191" s="12">
        <f>LN(G191)</f>
        <v/>
      </c>
      <c r="O191" s="12">
        <f>H191*Beta_0+I191*Beta_1+J191*Beta_2+K191*Beta_3+L191*Beta_4+M191*Beta_5</f>
        <v/>
      </c>
      <c r="P191" s="12">
        <f>N191-O191</f>
        <v/>
      </c>
      <c r="Q191" s="13">
        <f>EXP(O191)*Smearing_Factor</f>
        <v/>
      </c>
    </row>
    <row r="192">
      <c r="A192" t="n">
        <v>191</v>
      </c>
      <c r="B192" t="inlineStr">
        <is>
          <t>Arts and humanities</t>
        </is>
      </c>
      <c r="C192" s="9" t="n">
        <v>3.52</v>
      </c>
      <c r="D192" t="n">
        <v>3</v>
      </c>
      <c r="E192" t="n">
        <v>0</v>
      </c>
      <c r="F192" t="n">
        <v>0</v>
      </c>
      <c r="G192" s="10" t="n">
        <v>1950</v>
      </c>
      <c r="H192" t="n">
        <v>1</v>
      </c>
      <c r="I192" s="11">
        <f>C192-CGPA_Mean</f>
        <v/>
      </c>
      <c r="J192">
        <f>D192</f>
        <v/>
      </c>
      <c r="K192">
        <f>E192</f>
        <v/>
      </c>
      <c r="L192">
        <f>F192</f>
        <v/>
      </c>
      <c r="M192" s="11">
        <f>I192*K192</f>
        <v/>
      </c>
      <c r="N192" s="12">
        <f>LN(G192)</f>
        <v/>
      </c>
      <c r="O192" s="12">
        <f>H192*Beta_0+I192*Beta_1+J192*Beta_2+K192*Beta_3+L192*Beta_4+M192*Beta_5</f>
        <v/>
      </c>
      <c r="P192" s="12">
        <f>N192-O192</f>
        <v/>
      </c>
      <c r="Q192" s="13">
        <f>EXP(O192)*Smearing_Factor</f>
        <v/>
      </c>
    </row>
    <row r="193">
      <c r="A193" t="n">
        <v>192</v>
      </c>
      <c r="B193" t="inlineStr">
        <is>
          <t>Education</t>
        </is>
      </c>
      <c r="C193" s="9" t="n">
        <v>3.61</v>
      </c>
      <c r="D193" t="n">
        <v>3</v>
      </c>
      <c r="E193" t="n">
        <v>0</v>
      </c>
      <c r="F193" t="n">
        <v>1</v>
      </c>
      <c r="G193" s="10" t="n">
        <v>1380</v>
      </c>
      <c r="H193" t="n">
        <v>1</v>
      </c>
      <c r="I193" s="11">
        <f>C193-CGPA_Mean</f>
        <v/>
      </c>
      <c r="J193">
        <f>D193</f>
        <v/>
      </c>
      <c r="K193">
        <f>E193</f>
        <v/>
      </c>
      <c r="L193">
        <f>F193</f>
        <v/>
      </c>
      <c r="M193" s="11">
        <f>I193*K193</f>
        <v/>
      </c>
      <c r="N193" s="12">
        <f>LN(G193)</f>
        <v/>
      </c>
      <c r="O193" s="12">
        <f>H193*Beta_0+I193*Beta_1+J193*Beta_2+K193*Beta_3+L193*Beta_4+M193*Beta_5</f>
        <v/>
      </c>
      <c r="P193" s="12">
        <f>N193-O193</f>
        <v/>
      </c>
      <c r="Q193" s="13">
        <f>EXP(O193)*Smearing_Factor</f>
        <v/>
      </c>
    </row>
    <row r="194">
      <c r="A194" t="n">
        <v>193</v>
      </c>
      <c r="B194" t="inlineStr">
        <is>
          <t>Health and welfare</t>
        </is>
      </c>
      <c r="C194" s="9" t="n">
        <v>3.53</v>
      </c>
      <c r="D194" t="n">
        <v>3</v>
      </c>
      <c r="E194" t="n">
        <v>0</v>
      </c>
      <c r="F194" t="n">
        <v>0</v>
      </c>
      <c r="G194" s="10" t="n">
        <v>2680</v>
      </c>
      <c r="H194" t="n">
        <v>1</v>
      </c>
      <c r="I194" s="11">
        <f>C194-CGPA_Mean</f>
        <v/>
      </c>
      <c r="J194">
        <f>D194</f>
        <v/>
      </c>
      <c r="K194">
        <f>E194</f>
        <v/>
      </c>
      <c r="L194">
        <f>F194</f>
        <v/>
      </c>
      <c r="M194" s="11">
        <f>I194*K194</f>
        <v/>
      </c>
      <c r="N194" s="12">
        <f>LN(G194)</f>
        <v/>
      </c>
      <c r="O194" s="12">
        <f>H194*Beta_0+I194*Beta_1+J194*Beta_2+K194*Beta_3+L194*Beta_4+M194*Beta_5</f>
        <v/>
      </c>
      <c r="P194" s="12">
        <f>N194-O194</f>
        <v/>
      </c>
      <c r="Q194" s="13">
        <f>EXP(O194)*Smearing_Factor</f>
        <v/>
      </c>
    </row>
    <row r="195">
      <c r="A195" t="n">
        <v>194</v>
      </c>
      <c r="B195" t="inlineStr">
        <is>
          <t>Natural sciences, mathematics and statistics</t>
        </is>
      </c>
      <c r="C195" s="9" t="n">
        <v>3.46</v>
      </c>
      <c r="D195" t="n">
        <v>3</v>
      </c>
      <c r="E195" t="n">
        <v>1</v>
      </c>
      <c r="F195" t="n">
        <v>0</v>
      </c>
      <c r="G195" s="10" t="n">
        <v>2510</v>
      </c>
      <c r="H195" t="n">
        <v>1</v>
      </c>
      <c r="I195" s="11">
        <f>C195-CGPA_Mean</f>
        <v/>
      </c>
      <c r="J195">
        <f>D195</f>
        <v/>
      </c>
      <c r="K195">
        <f>E195</f>
        <v/>
      </c>
      <c r="L195">
        <f>F195</f>
        <v/>
      </c>
      <c r="M195" s="11">
        <f>I195*K195</f>
        <v/>
      </c>
      <c r="N195" s="12">
        <f>LN(G195)</f>
        <v/>
      </c>
      <c r="O195" s="12">
        <f>H195*Beta_0+I195*Beta_1+J195*Beta_2+K195*Beta_3+L195*Beta_4+M195*Beta_5</f>
        <v/>
      </c>
      <c r="P195" s="12">
        <f>N195-O195</f>
        <v/>
      </c>
      <c r="Q195" s="13">
        <f>EXP(O195)*Smearing_Factor</f>
        <v/>
      </c>
    </row>
    <row r="196">
      <c r="A196" t="n">
        <v>195</v>
      </c>
      <c r="B196" t="inlineStr">
        <is>
          <t>Business, administration and law</t>
        </is>
      </c>
      <c r="C196" s="9" t="n">
        <v>2.8</v>
      </c>
      <c r="D196" t="n">
        <v>9</v>
      </c>
      <c r="E196" t="n">
        <v>0</v>
      </c>
      <c r="F196" t="n">
        <v>0</v>
      </c>
      <c r="G196" s="10" t="n">
        <v>2030</v>
      </c>
      <c r="H196" t="n">
        <v>1</v>
      </c>
      <c r="I196" s="11">
        <f>C196-CGPA_Mean</f>
        <v/>
      </c>
      <c r="J196">
        <f>D196</f>
        <v/>
      </c>
      <c r="K196">
        <f>E196</f>
        <v/>
      </c>
      <c r="L196">
        <f>F196</f>
        <v/>
      </c>
      <c r="M196" s="11">
        <f>I196*K196</f>
        <v/>
      </c>
      <c r="N196" s="12">
        <f>LN(G196)</f>
        <v/>
      </c>
      <c r="O196" s="12">
        <f>H196*Beta_0+I196*Beta_1+J196*Beta_2+K196*Beta_3+L196*Beta_4+M196*Beta_5</f>
        <v/>
      </c>
      <c r="P196" s="12">
        <f>N196-O196</f>
        <v/>
      </c>
      <c r="Q196" s="13">
        <f>EXP(O196)*Smearing_Factor</f>
        <v/>
      </c>
    </row>
    <row r="197">
      <c r="A197" t="n">
        <v>196</v>
      </c>
      <c r="B197" t="inlineStr">
        <is>
          <t>Business, administration and law</t>
        </is>
      </c>
      <c r="C197" s="9" t="n">
        <v>3.01</v>
      </c>
      <c r="D197" t="n">
        <v>6</v>
      </c>
      <c r="E197" t="n">
        <v>0</v>
      </c>
      <c r="F197" t="n">
        <v>1</v>
      </c>
      <c r="G197" s="10" t="n">
        <v>3380</v>
      </c>
      <c r="H197" t="n">
        <v>1</v>
      </c>
      <c r="I197" s="11">
        <f>C197-CGPA_Mean</f>
        <v/>
      </c>
      <c r="J197">
        <f>D197</f>
        <v/>
      </c>
      <c r="K197">
        <f>E197</f>
        <v/>
      </c>
      <c r="L197">
        <f>F197</f>
        <v/>
      </c>
      <c r="M197" s="11">
        <f>I197*K197</f>
        <v/>
      </c>
      <c r="N197" s="12">
        <f>LN(G197)</f>
        <v/>
      </c>
      <c r="O197" s="12">
        <f>H197*Beta_0+I197*Beta_1+J197*Beta_2+K197*Beta_3+L197*Beta_4+M197*Beta_5</f>
        <v/>
      </c>
      <c r="P197" s="12">
        <f>N197-O197</f>
        <v/>
      </c>
      <c r="Q197" s="13">
        <f>EXP(O197)*Smearing_Factor</f>
        <v/>
      </c>
    </row>
    <row r="198">
      <c r="A198" t="n">
        <v>197</v>
      </c>
      <c r="B198" t="inlineStr">
        <is>
          <t>Business, administration and law</t>
        </is>
      </c>
      <c r="C198" s="9" t="n">
        <v>2.97</v>
      </c>
      <c r="D198" t="n">
        <v>6</v>
      </c>
      <c r="E198" t="n">
        <v>0</v>
      </c>
      <c r="F198" t="n">
        <v>1</v>
      </c>
      <c r="G198" s="10" t="n">
        <v>2510</v>
      </c>
      <c r="H198" t="n">
        <v>1</v>
      </c>
      <c r="I198" s="11">
        <f>C198-CGPA_Mean</f>
        <v/>
      </c>
      <c r="J198">
        <f>D198</f>
        <v/>
      </c>
      <c r="K198">
        <f>E198</f>
        <v/>
      </c>
      <c r="L198">
        <f>F198</f>
        <v/>
      </c>
      <c r="M198" s="11">
        <f>I198*K198</f>
        <v/>
      </c>
      <c r="N198" s="12">
        <f>LN(G198)</f>
        <v/>
      </c>
      <c r="O198" s="12">
        <f>H198*Beta_0+I198*Beta_1+J198*Beta_2+K198*Beta_3+L198*Beta_4+M198*Beta_5</f>
        <v/>
      </c>
      <c r="P198" s="12">
        <f>N198-O198</f>
        <v/>
      </c>
      <c r="Q198" s="13">
        <f>EXP(O198)*Smearing_Factor</f>
        <v/>
      </c>
    </row>
    <row r="199">
      <c r="A199" t="n">
        <v>198</v>
      </c>
      <c r="B199" t="inlineStr">
        <is>
          <t>Business, administration and law</t>
        </is>
      </c>
      <c r="C199" s="9" t="n">
        <v>2.69</v>
      </c>
      <c r="D199" t="n">
        <v>6</v>
      </c>
      <c r="E199" t="n">
        <v>0</v>
      </c>
      <c r="F199" t="n">
        <v>1</v>
      </c>
      <c r="G199" s="10" t="n">
        <v>3600</v>
      </c>
      <c r="H199" t="n">
        <v>1</v>
      </c>
      <c r="I199" s="11">
        <f>C199-CGPA_Mean</f>
        <v/>
      </c>
      <c r="J199">
        <f>D199</f>
        <v/>
      </c>
      <c r="K199">
        <f>E199</f>
        <v/>
      </c>
      <c r="L199">
        <f>F199</f>
        <v/>
      </c>
      <c r="M199" s="11">
        <f>I199*K199</f>
        <v/>
      </c>
      <c r="N199" s="12">
        <f>LN(G199)</f>
        <v/>
      </c>
      <c r="O199" s="12">
        <f>H199*Beta_0+I199*Beta_1+J199*Beta_2+K199*Beta_3+L199*Beta_4+M199*Beta_5</f>
        <v/>
      </c>
      <c r="P199" s="12">
        <f>N199-O199</f>
        <v/>
      </c>
      <c r="Q199" s="13">
        <f>EXP(O199)*Smearing_Factor</f>
        <v/>
      </c>
    </row>
    <row r="200">
      <c r="A200" t="n">
        <v>199</v>
      </c>
      <c r="B200" t="inlineStr">
        <is>
          <t>Education</t>
        </is>
      </c>
      <c r="C200" s="9" t="n">
        <v>3.35</v>
      </c>
      <c r="D200" t="n">
        <v>3</v>
      </c>
      <c r="E200" t="n">
        <v>0</v>
      </c>
      <c r="F200" t="n">
        <v>0</v>
      </c>
      <c r="G200" s="10" t="n">
        <v>520</v>
      </c>
      <c r="H200" t="n">
        <v>1</v>
      </c>
      <c r="I200" s="11">
        <f>C200-CGPA_Mean</f>
        <v/>
      </c>
      <c r="J200">
        <f>D200</f>
        <v/>
      </c>
      <c r="K200">
        <f>E200</f>
        <v/>
      </c>
      <c r="L200">
        <f>F200</f>
        <v/>
      </c>
      <c r="M200" s="11">
        <f>I200*K200</f>
        <v/>
      </c>
      <c r="N200" s="12">
        <f>LN(G200)</f>
        <v/>
      </c>
      <c r="O200" s="12">
        <f>H200*Beta_0+I200*Beta_1+J200*Beta_2+K200*Beta_3+L200*Beta_4+M200*Beta_5</f>
        <v/>
      </c>
      <c r="P200" s="12">
        <f>N200-O200</f>
        <v/>
      </c>
      <c r="Q200" s="13">
        <f>EXP(O200)*Smearing_Factor</f>
        <v/>
      </c>
    </row>
    <row r="201">
      <c r="A201" t="n">
        <v>200</v>
      </c>
      <c r="B201" t="inlineStr">
        <is>
          <t>Arts and humanities</t>
        </is>
      </c>
      <c r="C201" s="9" t="n">
        <v>3.5</v>
      </c>
      <c r="D201" t="n">
        <v>6</v>
      </c>
      <c r="E201" t="n">
        <v>0</v>
      </c>
      <c r="F201" t="n">
        <v>0</v>
      </c>
      <c r="G201" s="10" t="n">
        <v>2200</v>
      </c>
      <c r="H201" t="n">
        <v>1</v>
      </c>
      <c r="I201" s="11">
        <f>C201-CGPA_Mean</f>
        <v/>
      </c>
      <c r="J201">
        <f>D201</f>
        <v/>
      </c>
      <c r="K201">
        <f>E201</f>
        <v/>
      </c>
      <c r="L201">
        <f>F201</f>
        <v/>
      </c>
      <c r="M201" s="11">
        <f>I201*K201</f>
        <v/>
      </c>
      <c r="N201" s="12">
        <f>LN(G201)</f>
        <v/>
      </c>
      <c r="O201" s="12">
        <f>H201*Beta_0+I201*Beta_1+J201*Beta_2+K201*Beta_3+L201*Beta_4+M201*Beta_5</f>
        <v/>
      </c>
      <c r="P201" s="12">
        <f>N201-O201</f>
        <v/>
      </c>
      <c r="Q201" s="13">
        <f>EXP(O201)*Smearing_Factor</f>
        <v/>
      </c>
    </row>
    <row r="202">
      <c r="A202" t="n">
        <v>201</v>
      </c>
      <c r="B202" t="inlineStr">
        <is>
          <t>Engineering, manufacturing and construction</t>
        </is>
      </c>
      <c r="C202" s="9" t="n">
        <v>3.42</v>
      </c>
      <c r="D202" t="n">
        <v>6</v>
      </c>
      <c r="E202" t="n">
        <v>1</v>
      </c>
      <c r="F202" t="n">
        <v>1</v>
      </c>
      <c r="G202" s="10" t="n">
        <v>1670</v>
      </c>
      <c r="H202" t="n">
        <v>1</v>
      </c>
      <c r="I202" s="11">
        <f>C202-CGPA_Mean</f>
        <v/>
      </c>
      <c r="J202">
        <f>D202</f>
        <v/>
      </c>
      <c r="K202">
        <f>E202</f>
        <v/>
      </c>
      <c r="L202">
        <f>F202</f>
        <v/>
      </c>
      <c r="M202" s="11">
        <f>I202*K202</f>
        <v/>
      </c>
      <c r="N202" s="12">
        <f>LN(G202)</f>
        <v/>
      </c>
      <c r="O202" s="12">
        <f>H202*Beta_0+I202*Beta_1+J202*Beta_2+K202*Beta_3+L202*Beta_4+M202*Beta_5</f>
        <v/>
      </c>
      <c r="P202" s="12">
        <f>N202-O202</f>
        <v/>
      </c>
      <c r="Q202" s="13">
        <f>EXP(O202)*Smearing_Factor</f>
        <v/>
      </c>
    </row>
    <row r="203">
      <c r="A203" t="n">
        <v>202</v>
      </c>
      <c r="B203" t="inlineStr">
        <is>
          <t>Business, administration and law</t>
        </is>
      </c>
      <c r="C203" s="9" t="n">
        <v>2.71</v>
      </c>
      <c r="D203" t="n">
        <v>6</v>
      </c>
      <c r="E203" t="n">
        <v>0</v>
      </c>
      <c r="F203" t="n">
        <v>1</v>
      </c>
      <c r="G203" s="10" t="n">
        <v>970</v>
      </c>
      <c r="H203" t="n">
        <v>1</v>
      </c>
      <c r="I203" s="11">
        <f>C203-CGPA_Mean</f>
        <v/>
      </c>
      <c r="J203">
        <f>D203</f>
        <v/>
      </c>
      <c r="K203">
        <f>E203</f>
        <v/>
      </c>
      <c r="L203">
        <f>F203</f>
        <v/>
      </c>
      <c r="M203" s="11">
        <f>I203*K203</f>
        <v/>
      </c>
      <c r="N203" s="12">
        <f>LN(G203)</f>
        <v/>
      </c>
      <c r="O203" s="12">
        <f>H203*Beta_0+I203*Beta_1+J203*Beta_2+K203*Beta_3+L203*Beta_4+M203*Beta_5</f>
        <v/>
      </c>
      <c r="P203" s="12">
        <f>N203-O203</f>
        <v/>
      </c>
      <c r="Q203" s="13">
        <f>EXP(O203)*Smearing_Factor</f>
        <v/>
      </c>
    </row>
    <row r="204">
      <c r="A204" t="n">
        <v>203</v>
      </c>
      <c r="B204" t="inlineStr">
        <is>
          <t>Business, administration and law</t>
        </is>
      </c>
      <c r="C204" s="9" t="n">
        <v>3.74</v>
      </c>
      <c r="D204" t="n">
        <v>3</v>
      </c>
      <c r="E204" t="n">
        <v>0</v>
      </c>
      <c r="F204" t="n">
        <v>0</v>
      </c>
      <c r="G204" s="10" t="n">
        <v>3610</v>
      </c>
      <c r="H204" t="n">
        <v>1</v>
      </c>
      <c r="I204" s="11">
        <f>C204-CGPA_Mean</f>
        <v/>
      </c>
      <c r="J204">
        <f>D204</f>
        <v/>
      </c>
      <c r="K204">
        <f>E204</f>
        <v/>
      </c>
      <c r="L204">
        <f>F204</f>
        <v/>
      </c>
      <c r="M204" s="11">
        <f>I204*K204</f>
        <v/>
      </c>
      <c r="N204" s="12">
        <f>LN(G204)</f>
        <v/>
      </c>
      <c r="O204" s="12">
        <f>H204*Beta_0+I204*Beta_1+J204*Beta_2+K204*Beta_3+L204*Beta_4+M204*Beta_5</f>
        <v/>
      </c>
      <c r="P204" s="12">
        <f>N204-O204</f>
        <v/>
      </c>
      <c r="Q204" s="13">
        <f>EXP(O204)*Smearing_Factor</f>
        <v/>
      </c>
    </row>
    <row r="205">
      <c r="A205" t="n">
        <v>204</v>
      </c>
      <c r="B205" t="inlineStr">
        <is>
          <t>Engineering, manufacturing and construction</t>
        </is>
      </c>
      <c r="C205" s="9" t="n">
        <v>3.54</v>
      </c>
      <c r="D205" t="n">
        <v>3</v>
      </c>
      <c r="E205" t="n">
        <v>1</v>
      </c>
      <c r="F205" t="n">
        <v>1</v>
      </c>
      <c r="G205" s="10" t="n">
        <v>5020</v>
      </c>
      <c r="H205" t="n">
        <v>1</v>
      </c>
      <c r="I205" s="11">
        <f>C205-CGPA_Mean</f>
        <v/>
      </c>
      <c r="J205">
        <f>D205</f>
        <v/>
      </c>
      <c r="K205">
        <f>E205</f>
        <v/>
      </c>
      <c r="L205">
        <f>F205</f>
        <v/>
      </c>
      <c r="M205" s="11">
        <f>I205*K205</f>
        <v/>
      </c>
      <c r="N205" s="12">
        <f>LN(G205)</f>
        <v/>
      </c>
      <c r="O205" s="12">
        <f>H205*Beta_0+I205*Beta_1+J205*Beta_2+K205*Beta_3+L205*Beta_4+M205*Beta_5</f>
        <v/>
      </c>
      <c r="P205" s="12">
        <f>N205-O205</f>
        <v/>
      </c>
      <c r="Q205" s="13">
        <f>EXP(O205)*Smearing_Factor</f>
        <v/>
      </c>
    </row>
    <row r="206">
      <c r="A206" t="n">
        <v>205</v>
      </c>
      <c r="B206" t="inlineStr">
        <is>
          <t>Information and communication technologies</t>
        </is>
      </c>
      <c r="C206" s="9" t="n">
        <v>2.62</v>
      </c>
      <c r="D206" t="n">
        <v>6</v>
      </c>
      <c r="E206" t="n">
        <v>1</v>
      </c>
      <c r="F206" t="n">
        <v>0</v>
      </c>
      <c r="G206" s="10" t="n">
        <v>910</v>
      </c>
      <c r="H206" t="n">
        <v>1</v>
      </c>
      <c r="I206" s="11">
        <f>C206-CGPA_Mean</f>
        <v/>
      </c>
      <c r="J206">
        <f>D206</f>
        <v/>
      </c>
      <c r="K206">
        <f>E206</f>
        <v/>
      </c>
      <c r="L206">
        <f>F206</f>
        <v/>
      </c>
      <c r="M206" s="11">
        <f>I206*K206</f>
        <v/>
      </c>
      <c r="N206" s="12">
        <f>LN(G206)</f>
        <v/>
      </c>
      <c r="O206" s="12">
        <f>H206*Beta_0+I206*Beta_1+J206*Beta_2+K206*Beta_3+L206*Beta_4+M206*Beta_5</f>
        <v/>
      </c>
      <c r="P206" s="12">
        <f>N206-O206</f>
        <v/>
      </c>
      <c r="Q206" s="13">
        <f>EXP(O206)*Smearing_Factor</f>
        <v/>
      </c>
    </row>
    <row r="207">
      <c r="A207" t="n">
        <v>206</v>
      </c>
      <c r="B207" t="inlineStr">
        <is>
          <t>Business, administration and law</t>
        </is>
      </c>
      <c r="C207" s="9" t="n">
        <v>2.97</v>
      </c>
      <c r="D207" t="n">
        <v>6</v>
      </c>
      <c r="E207" t="n">
        <v>0</v>
      </c>
      <c r="F207" t="n">
        <v>0</v>
      </c>
      <c r="G207" s="10" t="n">
        <v>2530</v>
      </c>
      <c r="H207" t="n">
        <v>1</v>
      </c>
      <c r="I207" s="11">
        <f>C207-CGPA_Mean</f>
        <v/>
      </c>
      <c r="J207">
        <f>D207</f>
        <v/>
      </c>
      <c r="K207">
        <f>E207</f>
        <v/>
      </c>
      <c r="L207">
        <f>F207</f>
        <v/>
      </c>
      <c r="M207" s="11">
        <f>I207*K207</f>
        <v/>
      </c>
      <c r="N207" s="12">
        <f>LN(G207)</f>
        <v/>
      </c>
      <c r="O207" s="12">
        <f>H207*Beta_0+I207*Beta_1+J207*Beta_2+K207*Beta_3+L207*Beta_4+M207*Beta_5</f>
        <v/>
      </c>
      <c r="P207" s="12">
        <f>N207-O207</f>
        <v/>
      </c>
      <c r="Q207" s="13">
        <f>EXP(O207)*Smearing_Factor</f>
        <v/>
      </c>
    </row>
    <row r="208">
      <c r="A208" t="n">
        <v>207</v>
      </c>
      <c r="B208" t="inlineStr">
        <is>
          <t>Information and communication technologies</t>
        </is>
      </c>
      <c r="C208" s="9" t="n">
        <v>3.69</v>
      </c>
      <c r="D208" t="n">
        <v>6</v>
      </c>
      <c r="E208" t="n">
        <v>1</v>
      </c>
      <c r="F208" t="n">
        <v>1</v>
      </c>
      <c r="G208" s="10" t="n">
        <v>3200</v>
      </c>
      <c r="H208" t="n">
        <v>1</v>
      </c>
      <c r="I208" s="11">
        <f>C208-CGPA_Mean</f>
        <v/>
      </c>
      <c r="J208">
        <f>D208</f>
        <v/>
      </c>
      <c r="K208">
        <f>E208</f>
        <v/>
      </c>
      <c r="L208">
        <f>F208</f>
        <v/>
      </c>
      <c r="M208" s="11">
        <f>I208*K208</f>
        <v/>
      </c>
      <c r="N208" s="12">
        <f>LN(G208)</f>
        <v/>
      </c>
      <c r="O208" s="12">
        <f>H208*Beta_0+I208*Beta_1+J208*Beta_2+K208*Beta_3+L208*Beta_4+M208*Beta_5</f>
        <v/>
      </c>
      <c r="P208" s="12">
        <f>N208-O208</f>
        <v/>
      </c>
      <c r="Q208" s="13">
        <f>EXP(O208)*Smearing_Factor</f>
        <v/>
      </c>
    </row>
    <row r="209">
      <c r="A209" t="n">
        <v>208</v>
      </c>
      <c r="B209" t="inlineStr">
        <is>
          <t>Business, administration and law</t>
        </is>
      </c>
      <c r="C209" s="9" t="n">
        <v>3.29</v>
      </c>
      <c r="D209" t="n">
        <v>3</v>
      </c>
      <c r="E209" t="n">
        <v>0</v>
      </c>
      <c r="F209" t="n">
        <v>1</v>
      </c>
      <c r="G209" s="10" t="n">
        <v>4690</v>
      </c>
      <c r="H209" t="n">
        <v>1</v>
      </c>
      <c r="I209" s="11">
        <f>C209-CGPA_Mean</f>
        <v/>
      </c>
      <c r="J209">
        <f>D209</f>
        <v/>
      </c>
      <c r="K209">
        <f>E209</f>
        <v/>
      </c>
      <c r="L209">
        <f>F209</f>
        <v/>
      </c>
      <c r="M209" s="11">
        <f>I209*K209</f>
        <v/>
      </c>
      <c r="N209" s="12">
        <f>LN(G209)</f>
        <v/>
      </c>
      <c r="O209" s="12">
        <f>H209*Beta_0+I209*Beta_1+J209*Beta_2+K209*Beta_3+L209*Beta_4+M209*Beta_5</f>
        <v/>
      </c>
      <c r="P209" s="12">
        <f>N209-O209</f>
        <v/>
      </c>
      <c r="Q209" s="13">
        <f>EXP(O209)*Smearing_Factor</f>
        <v/>
      </c>
    </row>
    <row r="210">
      <c r="A210" t="n">
        <v>209</v>
      </c>
      <c r="B210" t="inlineStr">
        <is>
          <t>Arts and humanities</t>
        </is>
      </c>
      <c r="C210" s="9" t="n">
        <v>3.49</v>
      </c>
      <c r="D210" t="n">
        <v>9</v>
      </c>
      <c r="E210" t="n">
        <v>0</v>
      </c>
      <c r="F210" t="n">
        <v>0</v>
      </c>
      <c r="G210" s="10" t="n">
        <v>2630</v>
      </c>
      <c r="H210" t="n">
        <v>1</v>
      </c>
      <c r="I210" s="11">
        <f>C210-CGPA_Mean</f>
        <v/>
      </c>
      <c r="J210">
        <f>D210</f>
        <v/>
      </c>
      <c r="K210">
        <f>E210</f>
        <v/>
      </c>
      <c r="L210">
        <f>F210</f>
        <v/>
      </c>
      <c r="M210" s="11">
        <f>I210*K210</f>
        <v/>
      </c>
      <c r="N210" s="12">
        <f>LN(G210)</f>
        <v/>
      </c>
      <c r="O210" s="12">
        <f>H210*Beta_0+I210*Beta_1+J210*Beta_2+K210*Beta_3+L210*Beta_4+M210*Beta_5</f>
        <v/>
      </c>
      <c r="P210" s="12">
        <f>N210-O210</f>
        <v/>
      </c>
      <c r="Q210" s="13">
        <f>EXP(O210)*Smearing_Factor</f>
        <v/>
      </c>
    </row>
    <row r="211">
      <c r="A211" t="n">
        <v>210</v>
      </c>
      <c r="B211" t="inlineStr">
        <is>
          <t>Business, administration and law</t>
        </is>
      </c>
      <c r="C211" s="9" t="n">
        <v>3.66</v>
      </c>
      <c r="D211" t="n">
        <v>3</v>
      </c>
      <c r="E211" t="n">
        <v>0</v>
      </c>
      <c r="F211" t="n">
        <v>0</v>
      </c>
      <c r="G211" s="10" t="n">
        <v>3620</v>
      </c>
      <c r="H211" t="n">
        <v>1</v>
      </c>
      <c r="I211" s="11">
        <f>C211-CGPA_Mean</f>
        <v/>
      </c>
      <c r="J211">
        <f>D211</f>
        <v/>
      </c>
      <c r="K211">
        <f>E211</f>
        <v/>
      </c>
      <c r="L211">
        <f>F211</f>
        <v/>
      </c>
      <c r="M211" s="11">
        <f>I211*K211</f>
        <v/>
      </c>
      <c r="N211" s="12">
        <f>LN(G211)</f>
        <v/>
      </c>
      <c r="O211" s="12">
        <f>H211*Beta_0+I211*Beta_1+J211*Beta_2+K211*Beta_3+L211*Beta_4+M211*Beta_5</f>
        <v/>
      </c>
      <c r="P211" s="12">
        <f>N211-O211</f>
        <v/>
      </c>
      <c r="Q211" s="13">
        <f>EXP(O211)*Smearing_Factor</f>
        <v/>
      </c>
    </row>
    <row r="212">
      <c r="A212" t="n">
        <v>211</v>
      </c>
      <c r="B212" t="inlineStr">
        <is>
          <t>Engineering, manufacturing and construction</t>
        </is>
      </c>
      <c r="C212" s="9" t="n">
        <v>3.12</v>
      </c>
      <c r="D212" t="n">
        <v>9</v>
      </c>
      <c r="E212" t="n">
        <v>1</v>
      </c>
      <c r="F212" t="n">
        <v>1</v>
      </c>
      <c r="G212" s="10" t="n">
        <v>3450</v>
      </c>
      <c r="H212" t="n">
        <v>1</v>
      </c>
      <c r="I212" s="11">
        <f>C212-CGPA_Mean</f>
        <v/>
      </c>
      <c r="J212">
        <f>D212</f>
        <v/>
      </c>
      <c r="K212">
        <f>E212</f>
        <v/>
      </c>
      <c r="L212">
        <f>F212</f>
        <v/>
      </c>
      <c r="M212" s="11">
        <f>I212*K212</f>
        <v/>
      </c>
      <c r="N212" s="12">
        <f>LN(G212)</f>
        <v/>
      </c>
      <c r="O212" s="12">
        <f>H212*Beta_0+I212*Beta_1+J212*Beta_2+K212*Beta_3+L212*Beta_4+M212*Beta_5</f>
        <v/>
      </c>
      <c r="P212" s="12">
        <f>N212-O212</f>
        <v/>
      </c>
      <c r="Q212" s="13">
        <f>EXP(O212)*Smearing_Factor</f>
        <v/>
      </c>
    </row>
    <row r="213">
      <c r="A213" t="n">
        <v>212</v>
      </c>
      <c r="B213" t="inlineStr">
        <is>
          <t>Arts and humanities</t>
        </is>
      </c>
      <c r="C213" s="9" t="n">
        <v>2.88</v>
      </c>
      <c r="D213" t="n">
        <v>6</v>
      </c>
      <c r="E213" t="n">
        <v>0</v>
      </c>
      <c r="F213" t="n">
        <v>0</v>
      </c>
      <c r="G213" s="10" t="n">
        <v>620</v>
      </c>
      <c r="H213" t="n">
        <v>1</v>
      </c>
      <c r="I213" s="11">
        <f>C213-CGPA_Mean</f>
        <v/>
      </c>
      <c r="J213">
        <f>D213</f>
        <v/>
      </c>
      <c r="K213">
        <f>E213</f>
        <v/>
      </c>
      <c r="L213">
        <f>F213</f>
        <v/>
      </c>
      <c r="M213" s="11">
        <f>I213*K213</f>
        <v/>
      </c>
      <c r="N213" s="12">
        <f>LN(G213)</f>
        <v/>
      </c>
      <c r="O213" s="12">
        <f>H213*Beta_0+I213*Beta_1+J213*Beta_2+K213*Beta_3+L213*Beta_4+M213*Beta_5</f>
        <v/>
      </c>
      <c r="P213" s="12">
        <f>N213-O213</f>
        <v/>
      </c>
      <c r="Q213" s="13">
        <f>EXP(O213)*Smearing_Factor</f>
        <v/>
      </c>
    </row>
    <row r="214">
      <c r="A214" t="n">
        <v>213</v>
      </c>
      <c r="B214" t="inlineStr">
        <is>
          <t>Business, administration and law</t>
        </is>
      </c>
      <c r="C214" s="9" t="n">
        <v>3.29</v>
      </c>
      <c r="D214" t="n">
        <v>6</v>
      </c>
      <c r="E214" t="n">
        <v>0</v>
      </c>
      <c r="F214" t="n">
        <v>0</v>
      </c>
      <c r="G214" s="10" t="n">
        <v>6230</v>
      </c>
      <c r="H214" t="n">
        <v>1</v>
      </c>
      <c r="I214" s="11">
        <f>C214-CGPA_Mean</f>
        <v/>
      </c>
      <c r="J214">
        <f>D214</f>
        <v/>
      </c>
      <c r="K214">
        <f>E214</f>
        <v/>
      </c>
      <c r="L214">
        <f>F214</f>
        <v/>
      </c>
      <c r="M214" s="11">
        <f>I214*K214</f>
        <v/>
      </c>
      <c r="N214" s="12">
        <f>LN(G214)</f>
        <v/>
      </c>
      <c r="O214" s="12">
        <f>H214*Beta_0+I214*Beta_1+J214*Beta_2+K214*Beta_3+L214*Beta_4+M214*Beta_5</f>
        <v/>
      </c>
      <c r="P214" s="12">
        <f>N214-O214</f>
        <v/>
      </c>
      <c r="Q214" s="13">
        <f>EXP(O214)*Smearing_Factor</f>
        <v/>
      </c>
    </row>
    <row r="215">
      <c r="A215" t="n">
        <v>214</v>
      </c>
      <c r="B215" t="inlineStr">
        <is>
          <t>Education</t>
        </is>
      </c>
      <c r="C215" s="9" t="n">
        <v>3.08</v>
      </c>
      <c r="D215" t="n">
        <v>3</v>
      </c>
      <c r="E215" t="n">
        <v>0</v>
      </c>
      <c r="F215" t="n">
        <v>1</v>
      </c>
      <c r="G215" s="10" t="n">
        <v>2990</v>
      </c>
      <c r="H215" t="n">
        <v>1</v>
      </c>
      <c r="I215" s="11">
        <f>C215-CGPA_Mean</f>
        <v/>
      </c>
      <c r="J215">
        <f>D215</f>
        <v/>
      </c>
      <c r="K215">
        <f>E215</f>
        <v/>
      </c>
      <c r="L215">
        <f>F215</f>
        <v/>
      </c>
      <c r="M215" s="11">
        <f>I215*K215</f>
        <v/>
      </c>
      <c r="N215" s="12">
        <f>LN(G215)</f>
        <v/>
      </c>
      <c r="O215" s="12">
        <f>H215*Beta_0+I215*Beta_1+J215*Beta_2+K215*Beta_3+L215*Beta_4+M215*Beta_5</f>
        <v/>
      </c>
      <c r="P215" s="12">
        <f>N215-O215</f>
        <v/>
      </c>
      <c r="Q215" s="13">
        <f>EXP(O215)*Smearing_Factor</f>
        <v/>
      </c>
    </row>
    <row r="216">
      <c r="A216" t="n">
        <v>215</v>
      </c>
      <c r="B216" t="inlineStr">
        <is>
          <t>Engineering, manufacturing and construction</t>
        </is>
      </c>
      <c r="C216" s="9" t="n">
        <v>3.74</v>
      </c>
      <c r="D216" t="n">
        <v>9</v>
      </c>
      <c r="E216" t="n">
        <v>1</v>
      </c>
      <c r="F216" t="n">
        <v>1</v>
      </c>
      <c r="G216" s="10" t="n">
        <v>2380</v>
      </c>
      <c r="H216" t="n">
        <v>1</v>
      </c>
      <c r="I216" s="11">
        <f>C216-CGPA_Mean</f>
        <v/>
      </c>
      <c r="J216">
        <f>D216</f>
        <v/>
      </c>
      <c r="K216">
        <f>E216</f>
        <v/>
      </c>
      <c r="L216">
        <f>F216</f>
        <v/>
      </c>
      <c r="M216" s="11">
        <f>I216*K216</f>
        <v/>
      </c>
      <c r="N216" s="12">
        <f>LN(G216)</f>
        <v/>
      </c>
      <c r="O216" s="12">
        <f>H216*Beta_0+I216*Beta_1+J216*Beta_2+K216*Beta_3+L216*Beta_4+M216*Beta_5</f>
        <v/>
      </c>
      <c r="P216" s="12">
        <f>N216-O216</f>
        <v/>
      </c>
      <c r="Q216" s="13">
        <f>EXP(O216)*Smearing_Factor</f>
        <v/>
      </c>
    </row>
    <row r="217">
      <c r="A217" t="n">
        <v>216</v>
      </c>
      <c r="B217" t="inlineStr">
        <is>
          <t>Business, administration and law</t>
        </is>
      </c>
      <c r="C217" s="9" t="n">
        <v>3.19</v>
      </c>
      <c r="D217" t="n">
        <v>6</v>
      </c>
      <c r="E217" t="n">
        <v>0</v>
      </c>
      <c r="F217" t="n">
        <v>1</v>
      </c>
      <c r="G217" s="10" t="n">
        <v>3000</v>
      </c>
      <c r="H217" t="n">
        <v>1</v>
      </c>
      <c r="I217" s="11">
        <f>C217-CGPA_Mean</f>
        <v/>
      </c>
      <c r="J217">
        <f>D217</f>
        <v/>
      </c>
      <c r="K217">
        <f>E217</f>
        <v/>
      </c>
      <c r="L217">
        <f>F217</f>
        <v/>
      </c>
      <c r="M217" s="11">
        <f>I217*K217</f>
        <v/>
      </c>
      <c r="N217" s="12">
        <f>LN(G217)</f>
        <v/>
      </c>
      <c r="O217" s="12">
        <f>H217*Beta_0+I217*Beta_1+J217*Beta_2+K217*Beta_3+L217*Beta_4+M217*Beta_5</f>
        <v/>
      </c>
      <c r="P217" s="12">
        <f>N217-O217</f>
        <v/>
      </c>
      <c r="Q217" s="13">
        <f>EXP(O217)*Smearing_Factor</f>
        <v/>
      </c>
    </row>
    <row r="218">
      <c r="A218" t="n">
        <v>217</v>
      </c>
      <c r="B218" t="inlineStr">
        <is>
          <t>Arts and humanities</t>
        </is>
      </c>
      <c r="C218" s="9" t="n">
        <v>2.99</v>
      </c>
      <c r="D218" t="n">
        <v>6</v>
      </c>
      <c r="E218" t="n">
        <v>0</v>
      </c>
      <c r="F218" t="n">
        <v>1</v>
      </c>
      <c r="G218" s="10" t="n">
        <v>1080</v>
      </c>
      <c r="H218" t="n">
        <v>1</v>
      </c>
      <c r="I218" s="11">
        <f>C218-CGPA_Mean</f>
        <v/>
      </c>
      <c r="J218">
        <f>D218</f>
        <v/>
      </c>
      <c r="K218">
        <f>E218</f>
        <v/>
      </c>
      <c r="L218">
        <f>F218</f>
        <v/>
      </c>
      <c r="M218" s="11">
        <f>I218*K218</f>
        <v/>
      </c>
      <c r="N218" s="12">
        <f>LN(G218)</f>
        <v/>
      </c>
      <c r="O218" s="12">
        <f>H218*Beta_0+I218*Beta_1+J218*Beta_2+K218*Beta_3+L218*Beta_4+M218*Beta_5</f>
        <v/>
      </c>
      <c r="P218" s="12">
        <f>N218-O218</f>
        <v/>
      </c>
      <c r="Q218" s="13">
        <f>EXP(O218)*Smearing_Factor</f>
        <v/>
      </c>
    </row>
    <row r="219">
      <c r="A219" t="n">
        <v>218</v>
      </c>
      <c r="B219" t="inlineStr">
        <is>
          <t>Engineering, manufacturing and construction</t>
        </is>
      </c>
      <c r="C219" s="9" t="n">
        <v>3.72</v>
      </c>
      <c r="D219" t="n">
        <v>6</v>
      </c>
      <c r="E219" t="n">
        <v>1</v>
      </c>
      <c r="F219" t="n">
        <v>1</v>
      </c>
      <c r="G219" s="10" t="n">
        <v>4530</v>
      </c>
      <c r="H219" t="n">
        <v>1</v>
      </c>
      <c r="I219" s="11">
        <f>C219-CGPA_Mean</f>
        <v/>
      </c>
      <c r="J219">
        <f>D219</f>
        <v/>
      </c>
      <c r="K219">
        <f>E219</f>
        <v/>
      </c>
      <c r="L219">
        <f>F219</f>
        <v/>
      </c>
      <c r="M219" s="11">
        <f>I219*K219</f>
        <v/>
      </c>
      <c r="N219" s="12">
        <f>LN(G219)</f>
        <v/>
      </c>
      <c r="O219" s="12">
        <f>H219*Beta_0+I219*Beta_1+J219*Beta_2+K219*Beta_3+L219*Beta_4+M219*Beta_5</f>
        <v/>
      </c>
      <c r="P219" s="12">
        <f>N219-O219</f>
        <v/>
      </c>
      <c r="Q219" s="13">
        <f>EXP(O219)*Smearing_Factor</f>
        <v/>
      </c>
    </row>
    <row r="220">
      <c r="A220" t="n">
        <v>219</v>
      </c>
      <c r="B220" t="inlineStr">
        <is>
          <t>Education</t>
        </is>
      </c>
      <c r="C220" s="9" t="n">
        <v>3.32</v>
      </c>
      <c r="D220" t="n">
        <v>3</v>
      </c>
      <c r="E220" t="n">
        <v>0</v>
      </c>
      <c r="F220" t="n">
        <v>1</v>
      </c>
      <c r="G220" s="10" t="n">
        <v>2800</v>
      </c>
      <c r="H220" t="n">
        <v>1</v>
      </c>
      <c r="I220" s="11">
        <f>C220-CGPA_Mean</f>
        <v/>
      </c>
      <c r="J220">
        <f>D220</f>
        <v/>
      </c>
      <c r="K220">
        <f>E220</f>
        <v/>
      </c>
      <c r="L220">
        <f>F220</f>
        <v/>
      </c>
      <c r="M220" s="11">
        <f>I220*K220</f>
        <v/>
      </c>
      <c r="N220" s="12">
        <f>LN(G220)</f>
        <v/>
      </c>
      <c r="O220" s="12">
        <f>H220*Beta_0+I220*Beta_1+J220*Beta_2+K220*Beta_3+L220*Beta_4+M220*Beta_5</f>
        <v/>
      </c>
      <c r="P220" s="12">
        <f>N220-O220</f>
        <v/>
      </c>
      <c r="Q220" s="13">
        <f>EXP(O220)*Smearing_Factor</f>
        <v/>
      </c>
    </row>
    <row r="221">
      <c r="A221" t="n">
        <v>220</v>
      </c>
      <c r="B221" t="inlineStr">
        <is>
          <t>Natural sciences, mathematics and statistics</t>
        </is>
      </c>
      <c r="C221" s="9" t="n">
        <v>2.85</v>
      </c>
      <c r="D221" t="n">
        <v>6</v>
      </c>
      <c r="E221" t="n">
        <v>1</v>
      </c>
      <c r="F221" t="n">
        <v>0</v>
      </c>
      <c r="G221" s="10" t="n">
        <v>830</v>
      </c>
      <c r="H221" t="n">
        <v>1</v>
      </c>
      <c r="I221" s="11">
        <f>C221-CGPA_Mean</f>
        <v/>
      </c>
      <c r="J221">
        <f>D221</f>
        <v/>
      </c>
      <c r="K221">
        <f>E221</f>
        <v/>
      </c>
      <c r="L221">
        <f>F221</f>
        <v/>
      </c>
      <c r="M221" s="11">
        <f>I221*K221</f>
        <v/>
      </c>
      <c r="N221" s="12">
        <f>LN(G221)</f>
        <v/>
      </c>
      <c r="O221" s="12">
        <f>H221*Beta_0+I221*Beta_1+J221*Beta_2+K221*Beta_3+L221*Beta_4+M221*Beta_5</f>
        <v/>
      </c>
      <c r="P221" s="12">
        <f>N221-O221</f>
        <v/>
      </c>
      <c r="Q221" s="13">
        <f>EXP(O221)*Smearing_Factor</f>
        <v/>
      </c>
    </row>
    <row r="222">
      <c r="A222" t="n">
        <v>221</v>
      </c>
      <c r="B222" t="inlineStr">
        <is>
          <t>Natural sciences, mathematics and statistics</t>
        </is>
      </c>
      <c r="C222" s="9" t="n">
        <v>3.27</v>
      </c>
      <c r="D222" t="n">
        <v>3</v>
      </c>
      <c r="E222" t="n">
        <v>1</v>
      </c>
      <c r="F222" t="n">
        <v>0</v>
      </c>
      <c r="G222" s="10" t="n">
        <v>3230</v>
      </c>
      <c r="H222" t="n">
        <v>1</v>
      </c>
      <c r="I222" s="11">
        <f>C222-CGPA_Mean</f>
        <v/>
      </c>
      <c r="J222">
        <f>D222</f>
        <v/>
      </c>
      <c r="K222">
        <f>E222</f>
        <v/>
      </c>
      <c r="L222">
        <f>F222</f>
        <v/>
      </c>
      <c r="M222" s="11">
        <f>I222*K222</f>
        <v/>
      </c>
      <c r="N222" s="12">
        <f>LN(G222)</f>
        <v/>
      </c>
      <c r="O222" s="12">
        <f>H222*Beta_0+I222*Beta_1+J222*Beta_2+K222*Beta_3+L222*Beta_4+M222*Beta_5</f>
        <v/>
      </c>
      <c r="P222" s="12">
        <f>N222-O222</f>
        <v/>
      </c>
      <c r="Q222" s="13">
        <f>EXP(O222)*Smearing_Factor</f>
        <v/>
      </c>
    </row>
    <row r="223">
      <c r="A223" t="n">
        <v>222</v>
      </c>
      <c r="B223" t="inlineStr">
        <is>
          <t>Business, administration and law</t>
        </is>
      </c>
      <c r="C223" s="9" t="n">
        <v>2.83</v>
      </c>
      <c r="D223" t="n">
        <v>6</v>
      </c>
      <c r="E223" t="n">
        <v>0</v>
      </c>
      <c r="F223" t="n">
        <v>1</v>
      </c>
      <c r="G223" s="10" t="n">
        <v>1800</v>
      </c>
      <c r="H223" t="n">
        <v>1</v>
      </c>
      <c r="I223" s="11">
        <f>C223-CGPA_Mean</f>
        <v/>
      </c>
      <c r="J223">
        <f>D223</f>
        <v/>
      </c>
      <c r="K223">
        <f>E223</f>
        <v/>
      </c>
      <c r="L223">
        <f>F223</f>
        <v/>
      </c>
      <c r="M223" s="11">
        <f>I223*K223</f>
        <v/>
      </c>
      <c r="N223" s="12">
        <f>LN(G223)</f>
        <v/>
      </c>
      <c r="O223" s="12">
        <f>H223*Beta_0+I223*Beta_1+J223*Beta_2+K223*Beta_3+L223*Beta_4+M223*Beta_5</f>
        <v/>
      </c>
      <c r="P223" s="12">
        <f>N223-O223</f>
        <v/>
      </c>
      <c r="Q223" s="13">
        <f>EXP(O223)*Smearing_Factor</f>
        <v/>
      </c>
    </row>
    <row r="224">
      <c r="A224" t="n">
        <v>223</v>
      </c>
      <c r="B224" t="inlineStr">
        <is>
          <t>Education</t>
        </is>
      </c>
      <c r="C224" s="9" t="n">
        <v>3.48</v>
      </c>
      <c r="D224" t="n">
        <v>3</v>
      </c>
      <c r="E224" t="n">
        <v>0</v>
      </c>
      <c r="F224" t="n">
        <v>0</v>
      </c>
      <c r="G224" s="10" t="n">
        <v>2280</v>
      </c>
      <c r="H224" t="n">
        <v>1</v>
      </c>
      <c r="I224" s="11">
        <f>C224-CGPA_Mean</f>
        <v/>
      </c>
      <c r="J224">
        <f>D224</f>
        <v/>
      </c>
      <c r="K224">
        <f>E224</f>
        <v/>
      </c>
      <c r="L224">
        <f>F224</f>
        <v/>
      </c>
      <c r="M224" s="11">
        <f>I224*K224</f>
        <v/>
      </c>
      <c r="N224" s="12">
        <f>LN(G224)</f>
        <v/>
      </c>
      <c r="O224" s="12">
        <f>H224*Beta_0+I224*Beta_1+J224*Beta_2+K224*Beta_3+L224*Beta_4+M224*Beta_5</f>
        <v/>
      </c>
      <c r="P224" s="12">
        <f>N224-O224</f>
        <v/>
      </c>
      <c r="Q224" s="13">
        <f>EXP(O224)*Smearing_Factor</f>
        <v/>
      </c>
    </row>
    <row r="225">
      <c r="A225" t="n">
        <v>224</v>
      </c>
      <c r="B225" t="inlineStr">
        <is>
          <t>Information and communication technologies</t>
        </is>
      </c>
      <c r="C225" s="9" t="n">
        <v>2.87</v>
      </c>
      <c r="D225" t="n">
        <v>6</v>
      </c>
      <c r="E225" t="n">
        <v>1</v>
      </c>
      <c r="F225" t="n">
        <v>0</v>
      </c>
      <c r="G225" s="10" t="n">
        <v>3300</v>
      </c>
      <c r="H225" t="n">
        <v>1</v>
      </c>
      <c r="I225" s="11">
        <f>C225-CGPA_Mean</f>
        <v/>
      </c>
      <c r="J225">
        <f>D225</f>
        <v/>
      </c>
      <c r="K225">
        <f>E225</f>
        <v/>
      </c>
      <c r="L225">
        <f>F225</f>
        <v/>
      </c>
      <c r="M225" s="11">
        <f>I225*K225</f>
        <v/>
      </c>
      <c r="N225" s="12">
        <f>LN(G225)</f>
        <v/>
      </c>
      <c r="O225" s="12">
        <f>H225*Beta_0+I225*Beta_1+J225*Beta_2+K225*Beta_3+L225*Beta_4+M225*Beta_5</f>
        <v/>
      </c>
      <c r="P225" s="12">
        <f>N225-O225</f>
        <v/>
      </c>
      <c r="Q225" s="13">
        <f>EXP(O225)*Smearing_Factor</f>
        <v/>
      </c>
    </row>
    <row r="226">
      <c r="A226" t="n">
        <v>225</v>
      </c>
      <c r="B226" t="inlineStr">
        <is>
          <t>Business, administration and law</t>
        </is>
      </c>
      <c r="C226" s="9" t="n">
        <v>2.88</v>
      </c>
      <c r="D226" t="n">
        <v>6</v>
      </c>
      <c r="E226" t="n">
        <v>0</v>
      </c>
      <c r="F226" t="n">
        <v>1</v>
      </c>
      <c r="G226" s="10" t="n">
        <v>4410</v>
      </c>
      <c r="H226" t="n">
        <v>1</v>
      </c>
      <c r="I226" s="11">
        <f>C226-CGPA_Mean</f>
        <v/>
      </c>
      <c r="J226">
        <f>D226</f>
        <v/>
      </c>
      <c r="K226">
        <f>E226</f>
        <v/>
      </c>
      <c r="L226">
        <f>F226</f>
        <v/>
      </c>
      <c r="M226" s="11">
        <f>I226*K226</f>
        <v/>
      </c>
      <c r="N226" s="12">
        <f>LN(G226)</f>
        <v/>
      </c>
      <c r="O226" s="12">
        <f>H226*Beta_0+I226*Beta_1+J226*Beta_2+K226*Beta_3+L226*Beta_4+M226*Beta_5</f>
        <v/>
      </c>
      <c r="P226" s="12">
        <f>N226-O226</f>
        <v/>
      </c>
      <c r="Q226" s="13">
        <f>EXP(O226)*Smearing_Factor</f>
        <v/>
      </c>
    </row>
    <row r="227">
      <c r="A227" t="n">
        <v>226</v>
      </c>
      <c r="B227" t="inlineStr">
        <is>
          <t>Arts and humanities</t>
        </is>
      </c>
      <c r="C227" s="9" t="n">
        <v>3.76</v>
      </c>
      <c r="D227" t="n">
        <v>3</v>
      </c>
      <c r="E227" t="n">
        <v>0</v>
      </c>
      <c r="F227" t="n">
        <v>0</v>
      </c>
      <c r="G227" s="10" t="n">
        <v>2690</v>
      </c>
      <c r="H227" t="n">
        <v>1</v>
      </c>
      <c r="I227" s="11">
        <f>C227-CGPA_Mean</f>
        <v/>
      </c>
      <c r="J227">
        <f>D227</f>
        <v/>
      </c>
      <c r="K227">
        <f>E227</f>
        <v/>
      </c>
      <c r="L227">
        <f>F227</f>
        <v/>
      </c>
      <c r="M227" s="11">
        <f>I227*K227</f>
        <v/>
      </c>
      <c r="N227" s="12">
        <f>LN(G227)</f>
        <v/>
      </c>
      <c r="O227" s="12">
        <f>H227*Beta_0+I227*Beta_1+J227*Beta_2+K227*Beta_3+L227*Beta_4+M227*Beta_5</f>
        <v/>
      </c>
      <c r="P227" s="12">
        <f>N227-O227</f>
        <v/>
      </c>
      <c r="Q227" s="13">
        <f>EXP(O227)*Smearing_Factor</f>
        <v/>
      </c>
    </row>
    <row r="228">
      <c r="A228" t="n">
        <v>227</v>
      </c>
      <c r="B228" t="inlineStr">
        <is>
          <t>Business, administration and law</t>
        </is>
      </c>
      <c r="C228" s="9" t="n">
        <v>3.14</v>
      </c>
      <c r="D228" t="n">
        <v>6</v>
      </c>
      <c r="E228" t="n">
        <v>0</v>
      </c>
      <c r="F228" t="n">
        <v>1</v>
      </c>
      <c r="G228" s="10" t="n">
        <v>1640</v>
      </c>
      <c r="H228" t="n">
        <v>1</v>
      </c>
      <c r="I228" s="11">
        <f>C228-CGPA_Mean</f>
        <v/>
      </c>
      <c r="J228">
        <f>D228</f>
        <v/>
      </c>
      <c r="K228">
        <f>E228</f>
        <v/>
      </c>
      <c r="L228">
        <f>F228</f>
        <v/>
      </c>
      <c r="M228" s="11">
        <f>I228*K228</f>
        <v/>
      </c>
      <c r="N228" s="12">
        <f>LN(G228)</f>
        <v/>
      </c>
      <c r="O228" s="12">
        <f>H228*Beta_0+I228*Beta_1+J228*Beta_2+K228*Beta_3+L228*Beta_4+M228*Beta_5</f>
        <v/>
      </c>
      <c r="P228" s="12">
        <f>N228-O228</f>
        <v/>
      </c>
      <c r="Q228" s="13">
        <f>EXP(O228)*Smearing_Factor</f>
        <v/>
      </c>
    </row>
    <row r="229">
      <c r="A229" t="n">
        <v>228</v>
      </c>
      <c r="B229" t="inlineStr">
        <is>
          <t>Agriculture, forestry, fisheries and veterinary</t>
        </is>
      </c>
      <c r="C229" s="9" t="n">
        <v>3.41</v>
      </c>
      <c r="D229" t="n">
        <v>6</v>
      </c>
      <c r="E229" t="n">
        <v>0</v>
      </c>
      <c r="F229" t="n">
        <v>1</v>
      </c>
      <c r="G229" s="10" t="n">
        <v>4890</v>
      </c>
      <c r="H229" t="n">
        <v>1</v>
      </c>
      <c r="I229" s="11">
        <f>C229-CGPA_Mean</f>
        <v/>
      </c>
      <c r="J229">
        <f>D229</f>
        <v/>
      </c>
      <c r="K229">
        <f>E229</f>
        <v/>
      </c>
      <c r="L229">
        <f>F229</f>
        <v/>
      </c>
      <c r="M229" s="11">
        <f>I229*K229</f>
        <v/>
      </c>
      <c r="N229" s="12">
        <f>LN(G229)</f>
        <v/>
      </c>
      <c r="O229" s="12">
        <f>H229*Beta_0+I229*Beta_1+J229*Beta_2+K229*Beta_3+L229*Beta_4+M229*Beta_5</f>
        <v/>
      </c>
      <c r="P229" s="12">
        <f>N229-O229</f>
        <v/>
      </c>
      <c r="Q229" s="13">
        <f>EXP(O229)*Smearing_Factor</f>
        <v/>
      </c>
    </row>
    <row r="230">
      <c r="A230" t="n">
        <v>229</v>
      </c>
      <c r="B230" t="inlineStr">
        <is>
          <t>Arts and humanities</t>
        </is>
      </c>
      <c r="C230" s="9" t="n">
        <v>2.8</v>
      </c>
      <c r="D230" t="n">
        <v>3</v>
      </c>
      <c r="E230" t="n">
        <v>0</v>
      </c>
      <c r="F230" t="n">
        <v>1</v>
      </c>
      <c r="G230" s="10" t="n">
        <v>2090</v>
      </c>
      <c r="H230" t="n">
        <v>1</v>
      </c>
      <c r="I230" s="11">
        <f>C230-CGPA_Mean</f>
        <v/>
      </c>
      <c r="J230">
        <f>D230</f>
        <v/>
      </c>
      <c r="K230">
        <f>E230</f>
        <v/>
      </c>
      <c r="L230">
        <f>F230</f>
        <v/>
      </c>
      <c r="M230" s="11">
        <f>I230*K230</f>
        <v/>
      </c>
      <c r="N230" s="12">
        <f>LN(G230)</f>
        <v/>
      </c>
      <c r="O230" s="12">
        <f>H230*Beta_0+I230*Beta_1+J230*Beta_2+K230*Beta_3+L230*Beta_4+M230*Beta_5</f>
        <v/>
      </c>
      <c r="P230" s="12">
        <f>N230-O230</f>
        <v/>
      </c>
      <c r="Q230" s="13">
        <f>EXP(O230)*Smearing_Factor</f>
        <v/>
      </c>
    </row>
    <row r="231">
      <c r="A231" t="n">
        <v>230</v>
      </c>
      <c r="B231" t="inlineStr">
        <is>
          <t>Services</t>
        </is>
      </c>
      <c r="C231" s="9" t="n">
        <v>3.83</v>
      </c>
      <c r="D231" t="n">
        <v>6</v>
      </c>
      <c r="E231" t="n">
        <v>0</v>
      </c>
      <c r="F231" t="n">
        <v>0</v>
      </c>
      <c r="G231" s="10" t="n">
        <v>2550</v>
      </c>
      <c r="H231" t="n">
        <v>1</v>
      </c>
      <c r="I231" s="11">
        <f>C231-CGPA_Mean</f>
        <v/>
      </c>
      <c r="J231">
        <f>D231</f>
        <v/>
      </c>
      <c r="K231">
        <f>E231</f>
        <v/>
      </c>
      <c r="L231">
        <f>F231</f>
        <v/>
      </c>
      <c r="M231" s="11">
        <f>I231*K231</f>
        <v/>
      </c>
      <c r="N231" s="12">
        <f>LN(G231)</f>
        <v/>
      </c>
      <c r="O231" s="12">
        <f>H231*Beta_0+I231*Beta_1+J231*Beta_2+K231*Beta_3+L231*Beta_4+M231*Beta_5</f>
        <v/>
      </c>
      <c r="P231" s="12">
        <f>N231-O231</f>
        <v/>
      </c>
      <c r="Q231" s="13">
        <f>EXP(O231)*Smearing_Factor</f>
        <v/>
      </c>
    </row>
    <row r="232">
      <c r="A232" t="n">
        <v>231</v>
      </c>
      <c r="B232" t="inlineStr">
        <is>
          <t>Health and welfare</t>
        </is>
      </c>
      <c r="C232" s="9" t="n">
        <v>2.88</v>
      </c>
      <c r="D232" t="n">
        <v>6</v>
      </c>
      <c r="E232" t="n">
        <v>0</v>
      </c>
      <c r="F232" t="n">
        <v>0</v>
      </c>
      <c r="G232" s="10" t="n">
        <v>4710</v>
      </c>
      <c r="H232" t="n">
        <v>1</v>
      </c>
      <c r="I232" s="11">
        <f>C232-CGPA_Mean</f>
        <v/>
      </c>
      <c r="J232">
        <f>D232</f>
        <v/>
      </c>
      <c r="K232">
        <f>E232</f>
        <v/>
      </c>
      <c r="L232">
        <f>F232</f>
        <v/>
      </c>
      <c r="M232" s="11">
        <f>I232*K232</f>
        <v/>
      </c>
      <c r="N232" s="12">
        <f>LN(G232)</f>
        <v/>
      </c>
      <c r="O232" s="12">
        <f>H232*Beta_0+I232*Beta_1+J232*Beta_2+K232*Beta_3+L232*Beta_4+M232*Beta_5</f>
        <v/>
      </c>
      <c r="P232" s="12">
        <f>N232-O232</f>
        <v/>
      </c>
      <c r="Q232" s="13">
        <f>EXP(O232)*Smearing_Factor</f>
        <v/>
      </c>
    </row>
    <row r="233">
      <c r="A233" t="n">
        <v>232</v>
      </c>
      <c r="B233" t="inlineStr">
        <is>
          <t>Natural sciences, mathematics and statistics</t>
        </is>
      </c>
      <c r="C233" s="9" t="n">
        <v>3.14</v>
      </c>
      <c r="D233" t="n">
        <v>6</v>
      </c>
      <c r="E233" t="n">
        <v>1</v>
      </c>
      <c r="F233" t="n">
        <v>1</v>
      </c>
      <c r="G233" s="10" t="n">
        <v>9630</v>
      </c>
      <c r="H233" t="n">
        <v>1</v>
      </c>
      <c r="I233" s="11">
        <f>C233-CGPA_Mean</f>
        <v/>
      </c>
      <c r="J233">
        <f>D233</f>
        <v/>
      </c>
      <c r="K233">
        <f>E233</f>
        <v/>
      </c>
      <c r="L233">
        <f>F233</f>
        <v/>
      </c>
      <c r="M233" s="11">
        <f>I233*K233</f>
        <v/>
      </c>
      <c r="N233" s="12">
        <f>LN(G233)</f>
        <v/>
      </c>
      <c r="O233" s="12">
        <f>H233*Beta_0+I233*Beta_1+J233*Beta_2+K233*Beta_3+L233*Beta_4+M233*Beta_5</f>
        <v/>
      </c>
      <c r="P233" s="12">
        <f>N233-O233</f>
        <v/>
      </c>
      <c r="Q233" s="13">
        <f>EXP(O233)*Smearing_Factor</f>
        <v/>
      </c>
    </row>
    <row r="234">
      <c r="A234" t="n">
        <v>233</v>
      </c>
      <c r="B234" t="inlineStr">
        <is>
          <t>Business, administration and law</t>
        </is>
      </c>
      <c r="C234" s="9" t="n">
        <v>3.11</v>
      </c>
      <c r="D234" t="n">
        <v>6</v>
      </c>
      <c r="E234" t="n">
        <v>0</v>
      </c>
      <c r="F234" t="n">
        <v>0</v>
      </c>
      <c r="G234" s="10" t="n">
        <v>2910</v>
      </c>
      <c r="H234" t="n">
        <v>1</v>
      </c>
      <c r="I234" s="11">
        <f>C234-CGPA_Mean</f>
        <v/>
      </c>
      <c r="J234">
        <f>D234</f>
        <v/>
      </c>
      <c r="K234">
        <f>E234</f>
        <v/>
      </c>
      <c r="L234">
        <f>F234</f>
        <v/>
      </c>
      <c r="M234" s="11">
        <f>I234*K234</f>
        <v/>
      </c>
      <c r="N234" s="12">
        <f>LN(G234)</f>
        <v/>
      </c>
      <c r="O234" s="12">
        <f>H234*Beta_0+I234*Beta_1+J234*Beta_2+K234*Beta_3+L234*Beta_4+M234*Beta_5</f>
        <v/>
      </c>
      <c r="P234" s="12">
        <f>N234-O234</f>
        <v/>
      </c>
      <c r="Q234" s="13">
        <f>EXP(O234)*Smearing_Factor</f>
        <v/>
      </c>
    </row>
    <row r="235">
      <c r="A235" t="n">
        <v>234</v>
      </c>
      <c r="B235" t="inlineStr">
        <is>
          <t>Arts and humanities</t>
        </is>
      </c>
      <c r="C235" s="9" t="n">
        <v>3.15</v>
      </c>
      <c r="D235" t="n">
        <v>6</v>
      </c>
      <c r="E235" t="n">
        <v>0</v>
      </c>
      <c r="F235" t="n">
        <v>0</v>
      </c>
      <c r="G235" s="10" t="n">
        <v>2900</v>
      </c>
      <c r="H235" t="n">
        <v>1</v>
      </c>
      <c r="I235" s="11">
        <f>C235-CGPA_Mean</f>
        <v/>
      </c>
      <c r="J235">
        <f>D235</f>
        <v/>
      </c>
      <c r="K235">
        <f>E235</f>
        <v/>
      </c>
      <c r="L235">
        <f>F235</f>
        <v/>
      </c>
      <c r="M235" s="11">
        <f>I235*K235</f>
        <v/>
      </c>
      <c r="N235" s="12">
        <f>LN(G235)</f>
        <v/>
      </c>
      <c r="O235" s="12">
        <f>H235*Beta_0+I235*Beta_1+J235*Beta_2+K235*Beta_3+L235*Beta_4+M235*Beta_5</f>
        <v/>
      </c>
      <c r="P235" s="12">
        <f>N235-O235</f>
        <v/>
      </c>
      <c r="Q235" s="13">
        <f>EXP(O235)*Smearing_Factor</f>
        <v/>
      </c>
    </row>
    <row r="236">
      <c r="A236" t="n">
        <v>235</v>
      </c>
      <c r="B236" t="inlineStr">
        <is>
          <t>Business, administration and law</t>
        </is>
      </c>
      <c r="C236" s="9" t="n">
        <v>3.4</v>
      </c>
      <c r="D236" t="n">
        <v>3</v>
      </c>
      <c r="E236" t="n">
        <v>0</v>
      </c>
      <c r="F236" t="n">
        <v>1</v>
      </c>
      <c r="G236" s="10" t="n">
        <v>2810</v>
      </c>
      <c r="H236" t="n">
        <v>1</v>
      </c>
      <c r="I236" s="11">
        <f>C236-CGPA_Mean</f>
        <v/>
      </c>
      <c r="J236">
        <f>D236</f>
        <v/>
      </c>
      <c r="K236">
        <f>E236</f>
        <v/>
      </c>
      <c r="L236">
        <f>F236</f>
        <v/>
      </c>
      <c r="M236" s="11">
        <f>I236*K236</f>
        <v/>
      </c>
      <c r="N236" s="12">
        <f>LN(G236)</f>
        <v/>
      </c>
      <c r="O236" s="12">
        <f>H236*Beta_0+I236*Beta_1+J236*Beta_2+K236*Beta_3+L236*Beta_4+M236*Beta_5</f>
        <v/>
      </c>
      <c r="P236" s="12">
        <f>N236-O236</f>
        <v/>
      </c>
      <c r="Q236" s="13">
        <f>EXP(O236)*Smearing_Factor</f>
        <v/>
      </c>
    </row>
    <row r="237">
      <c r="A237" t="n">
        <v>236</v>
      </c>
      <c r="B237" t="inlineStr">
        <is>
          <t>Education</t>
        </is>
      </c>
      <c r="C237" s="9" t="n">
        <v>3.88</v>
      </c>
      <c r="D237" t="n">
        <v>6</v>
      </c>
      <c r="E237" t="n">
        <v>0</v>
      </c>
      <c r="F237" t="n">
        <v>0</v>
      </c>
      <c r="G237" s="10" t="n">
        <v>1180</v>
      </c>
      <c r="H237" t="n">
        <v>1</v>
      </c>
      <c r="I237" s="11">
        <f>C237-CGPA_Mean</f>
        <v/>
      </c>
      <c r="J237">
        <f>D237</f>
        <v/>
      </c>
      <c r="K237">
        <f>E237</f>
        <v/>
      </c>
      <c r="L237">
        <f>F237</f>
        <v/>
      </c>
      <c r="M237" s="11">
        <f>I237*K237</f>
        <v/>
      </c>
      <c r="N237" s="12">
        <f>LN(G237)</f>
        <v/>
      </c>
      <c r="O237" s="12">
        <f>H237*Beta_0+I237*Beta_1+J237*Beta_2+K237*Beta_3+L237*Beta_4+M237*Beta_5</f>
        <v/>
      </c>
      <c r="P237" s="12">
        <f>N237-O237</f>
        <v/>
      </c>
      <c r="Q237" s="13">
        <f>EXP(O237)*Smearing_Factor</f>
        <v/>
      </c>
    </row>
    <row r="238">
      <c r="A238" t="n">
        <v>237</v>
      </c>
      <c r="B238" t="inlineStr">
        <is>
          <t>Education</t>
        </is>
      </c>
      <c r="C238" s="9" t="n">
        <v>2.89</v>
      </c>
      <c r="D238" t="n">
        <v>6</v>
      </c>
      <c r="E238" t="n">
        <v>0</v>
      </c>
      <c r="F238" t="n">
        <v>0</v>
      </c>
      <c r="G238" s="10" t="n">
        <v>1990</v>
      </c>
      <c r="H238" t="n">
        <v>1</v>
      </c>
      <c r="I238" s="11">
        <f>C238-CGPA_Mean</f>
        <v/>
      </c>
      <c r="J238">
        <f>D238</f>
        <v/>
      </c>
      <c r="K238">
        <f>E238</f>
        <v/>
      </c>
      <c r="L238">
        <f>F238</f>
        <v/>
      </c>
      <c r="M238" s="11">
        <f>I238*K238</f>
        <v/>
      </c>
      <c r="N238" s="12">
        <f>LN(G238)</f>
        <v/>
      </c>
      <c r="O238" s="12">
        <f>H238*Beta_0+I238*Beta_1+J238*Beta_2+K238*Beta_3+L238*Beta_4+M238*Beta_5</f>
        <v/>
      </c>
      <c r="P238" s="12">
        <f>N238-O238</f>
        <v/>
      </c>
      <c r="Q238" s="13">
        <f>EXP(O238)*Smearing_Factor</f>
        <v/>
      </c>
    </row>
    <row r="239">
      <c r="A239" t="n">
        <v>238</v>
      </c>
      <c r="B239" t="inlineStr">
        <is>
          <t>Business, administration and law</t>
        </is>
      </c>
      <c r="C239" s="9" t="n">
        <v>3.84</v>
      </c>
      <c r="D239" t="n">
        <v>3</v>
      </c>
      <c r="E239" t="n">
        <v>0</v>
      </c>
      <c r="F239" t="n">
        <v>1</v>
      </c>
      <c r="G239" s="10" t="n">
        <v>2470</v>
      </c>
      <c r="H239" t="n">
        <v>1</v>
      </c>
      <c r="I239" s="11">
        <f>C239-CGPA_Mean</f>
        <v/>
      </c>
      <c r="J239">
        <f>D239</f>
        <v/>
      </c>
      <c r="K239">
        <f>E239</f>
        <v/>
      </c>
      <c r="L239">
        <f>F239</f>
        <v/>
      </c>
      <c r="M239" s="11">
        <f>I239*K239</f>
        <v/>
      </c>
      <c r="N239" s="12">
        <f>LN(G239)</f>
        <v/>
      </c>
      <c r="O239" s="12">
        <f>H239*Beta_0+I239*Beta_1+J239*Beta_2+K239*Beta_3+L239*Beta_4+M239*Beta_5</f>
        <v/>
      </c>
      <c r="P239" s="12">
        <f>N239-O239</f>
        <v/>
      </c>
      <c r="Q239" s="13">
        <f>EXP(O239)*Smearing_Factor</f>
        <v/>
      </c>
    </row>
    <row r="240">
      <c r="A240" t="n">
        <v>239</v>
      </c>
      <c r="B240" t="inlineStr">
        <is>
          <t>Natural sciences, mathematics and statistics</t>
        </is>
      </c>
      <c r="C240" s="9" t="n">
        <v>3.35</v>
      </c>
      <c r="D240" t="n">
        <v>6</v>
      </c>
      <c r="E240" t="n">
        <v>1</v>
      </c>
      <c r="F240" t="n">
        <v>0</v>
      </c>
      <c r="G240" s="10" t="n">
        <v>2380</v>
      </c>
      <c r="H240" t="n">
        <v>1</v>
      </c>
      <c r="I240" s="11">
        <f>C240-CGPA_Mean</f>
        <v/>
      </c>
      <c r="J240">
        <f>D240</f>
        <v/>
      </c>
      <c r="K240">
        <f>E240</f>
        <v/>
      </c>
      <c r="L240">
        <f>F240</f>
        <v/>
      </c>
      <c r="M240" s="11">
        <f>I240*K240</f>
        <v/>
      </c>
      <c r="N240" s="12">
        <f>LN(G240)</f>
        <v/>
      </c>
      <c r="O240" s="12">
        <f>H240*Beta_0+I240*Beta_1+J240*Beta_2+K240*Beta_3+L240*Beta_4+M240*Beta_5</f>
        <v/>
      </c>
      <c r="P240" s="12">
        <f>N240-O240</f>
        <v/>
      </c>
      <c r="Q240" s="13">
        <f>EXP(O240)*Smearing_Factor</f>
        <v/>
      </c>
    </row>
    <row r="241">
      <c r="A241" t="n">
        <v>240</v>
      </c>
      <c r="B241" t="inlineStr">
        <is>
          <t>Business, administration and law</t>
        </is>
      </c>
      <c r="C241" s="9" t="n">
        <v>3.1</v>
      </c>
      <c r="D241" t="n">
        <v>6</v>
      </c>
      <c r="E241" t="n">
        <v>0</v>
      </c>
      <c r="F241" t="n">
        <v>0</v>
      </c>
      <c r="G241" s="10" t="n">
        <v>2100</v>
      </c>
      <c r="H241" t="n">
        <v>1</v>
      </c>
      <c r="I241" s="11">
        <f>C241-CGPA_Mean</f>
        <v/>
      </c>
      <c r="J241">
        <f>D241</f>
        <v/>
      </c>
      <c r="K241">
        <f>E241</f>
        <v/>
      </c>
      <c r="L241">
        <f>F241</f>
        <v/>
      </c>
      <c r="M241" s="11">
        <f>I241*K241</f>
        <v/>
      </c>
      <c r="N241" s="12">
        <f>LN(G241)</f>
        <v/>
      </c>
      <c r="O241" s="12">
        <f>H241*Beta_0+I241*Beta_1+J241*Beta_2+K241*Beta_3+L241*Beta_4+M241*Beta_5</f>
        <v/>
      </c>
      <c r="P241" s="12">
        <f>N241-O241</f>
        <v/>
      </c>
      <c r="Q241" s="13">
        <f>EXP(O241)*Smearing_Factor</f>
        <v/>
      </c>
    </row>
    <row r="242">
      <c r="A242" t="n">
        <v>241</v>
      </c>
      <c r="B242" t="inlineStr">
        <is>
          <t>Business, administration and law</t>
        </is>
      </c>
      <c r="C242" s="9" t="n">
        <v>2.42</v>
      </c>
      <c r="D242" t="n">
        <v>9</v>
      </c>
      <c r="E242" t="n">
        <v>0</v>
      </c>
      <c r="F242" t="n">
        <v>0</v>
      </c>
      <c r="G242" s="10" t="n">
        <v>2090</v>
      </c>
      <c r="H242" t="n">
        <v>1</v>
      </c>
      <c r="I242" s="11">
        <f>C242-CGPA_Mean</f>
        <v/>
      </c>
      <c r="J242">
        <f>D242</f>
        <v/>
      </c>
      <c r="K242">
        <f>E242</f>
        <v/>
      </c>
      <c r="L242">
        <f>F242</f>
        <v/>
      </c>
      <c r="M242" s="11">
        <f>I242*K242</f>
        <v/>
      </c>
      <c r="N242" s="12">
        <f>LN(G242)</f>
        <v/>
      </c>
      <c r="O242" s="12">
        <f>H242*Beta_0+I242*Beta_1+J242*Beta_2+K242*Beta_3+L242*Beta_4+M242*Beta_5</f>
        <v/>
      </c>
      <c r="P242" s="12">
        <f>N242-O242</f>
        <v/>
      </c>
      <c r="Q242" s="13">
        <f>EXP(O242)*Smearing_Factor</f>
        <v/>
      </c>
    </row>
    <row r="243">
      <c r="A243" t="n">
        <v>242</v>
      </c>
      <c r="B243" t="inlineStr">
        <is>
          <t>Engineering, manufacturing and construction</t>
        </is>
      </c>
      <c r="C243" s="9" t="n">
        <v>2.78</v>
      </c>
      <c r="D243" t="n">
        <v>3</v>
      </c>
      <c r="E243" t="n">
        <v>1</v>
      </c>
      <c r="F243" t="n">
        <v>0</v>
      </c>
      <c r="G243" s="10" t="n">
        <v>1990</v>
      </c>
      <c r="H243" t="n">
        <v>1</v>
      </c>
      <c r="I243" s="11">
        <f>C243-CGPA_Mean</f>
        <v/>
      </c>
      <c r="J243">
        <f>D243</f>
        <v/>
      </c>
      <c r="K243">
        <f>E243</f>
        <v/>
      </c>
      <c r="L243">
        <f>F243</f>
        <v/>
      </c>
      <c r="M243" s="11">
        <f>I243*K243</f>
        <v/>
      </c>
      <c r="N243" s="12">
        <f>LN(G243)</f>
        <v/>
      </c>
      <c r="O243" s="12">
        <f>H243*Beta_0+I243*Beta_1+J243*Beta_2+K243*Beta_3+L243*Beta_4+M243*Beta_5</f>
        <v/>
      </c>
      <c r="P243" s="12">
        <f>N243-O243</f>
        <v/>
      </c>
      <c r="Q243" s="13">
        <f>EXP(O243)*Smearing_Factor</f>
        <v/>
      </c>
    </row>
    <row r="244">
      <c r="A244" t="n">
        <v>243</v>
      </c>
      <c r="B244" t="inlineStr">
        <is>
          <t>Agriculture, forestry, fisheries and veterinary</t>
        </is>
      </c>
      <c r="C244" s="9" t="n">
        <v>2.82</v>
      </c>
      <c r="D244" t="n">
        <v>3</v>
      </c>
      <c r="E244" t="n">
        <v>0</v>
      </c>
      <c r="F244" t="n">
        <v>1</v>
      </c>
      <c r="G244" s="10" t="n">
        <v>860</v>
      </c>
      <c r="H244" t="n">
        <v>1</v>
      </c>
      <c r="I244" s="11">
        <f>C244-CGPA_Mean</f>
        <v/>
      </c>
      <c r="J244">
        <f>D244</f>
        <v/>
      </c>
      <c r="K244">
        <f>E244</f>
        <v/>
      </c>
      <c r="L244">
        <f>F244</f>
        <v/>
      </c>
      <c r="M244" s="11">
        <f>I244*K244</f>
        <v/>
      </c>
      <c r="N244" s="12">
        <f>LN(G244)</f>
        <v/>
      </c>
      <c r="O244" s="12">
        <f>H244*Beta_0+I244*Beta_1+J244*Beta_2+K244*Beta_3+L244*Beta_4+M244*Beta_5</f>
        <v/>
      </c>
      <c r="P244" s="12">
        <f>N244-O244</f>
        <v/>
      </c>
      <c r="Q244" s="13">
        <f>EXP(O244)*Smearing_Factor</f>
        <v/>
      </c>
    </row>
    <row r="245">
      <c r="A245" t="n">
        <v>244</v>
      </c>
      <c r="B245" t="inlineStr">
        <is>
          <t>Arts and humanities</t>
        </is>
      </c>
      <c r="C245" s="9" t="n">
        <v>3.56</v>
      </c>
      <c r="D245" t="n">
        <v>6</v>
      </c>
      <c r="E245" t="n">
        <v>0</v>
      </c>
      <c r="F245" t="n">
        <v>1</v>
      </c>
      <c r="G245" s="10" t="n">
        <v>4130</v>
      </c>
      <c r="H245" t="n">
        <v>1</v>
      </c>
      <c r="I245" s="11">
        <f>C245-CGPA_Mean</f>
        <v/>
      </c>
      <c r="J245">
        <f>D245</f>
        <v/>
      </c>
      <c r="K245">
        <f>E245</f>
        <v/>
      </c>
      <c r="L245">
        <f>F245</f>
        <v/>
      </c>
      <c r="M245" s="11">
        <f>I245*K245</f>
        <v/>
      </c>
      <c r="N245" s="12">
        <f>LN(G245)</f>
        <v/>
      </c>
      <c r="O245" s="12">
        <f>H245*Beta_0+I245*Beta_1+J245*Beta_2+K245*Beta_3+L245*Beta_4+M245*Beta_5</f>
        <v/>
      </c>
      <c r="P245" s="12">
        <f>N245-O245</f>
        <v/>
      </c>
      <c r="Q245" s="13">
        <f>EXP(O245)*Smearing_Factor</f>
        <v/>
      </c>
    </row>
    <row r="246">
      <c r="A246" t="n">
        <v>245</v>
      </c>
      <c r="B246" t="inlineStr">
        <is>
          <t>Agriculture, forestry, fisheries and veterinary</t>
        </is>
      </c>
      <c r="C246" s="9" t="n">
        <v>3.52</v>
      </c>
      <c r="D246" t="n">
        <v>3</v>
      </c>
      <c r="E246" t="n">
        <v>0</v>
      </c>
      <c r="F246" t="n">
        <v>0</v>
      </c>
      <c r="G246" s="10" t="n">
        <v>2460</v>
      </c>
      <c r="H246" t="n">
        <v>1</v>
      </c>
      <c r="I246" s="11">
        <f>C246-CGPA_Mean</f>
        <v/>
      </c>
      <c r="J246">
        <f>D246</f>
        <v/>
      </c>
      <c r="K246">
        <f>E246</f>
        <v/>
      </c>
      <c r="L246">
        <f>F246</f>
        <v/>
      </c>
      <c r="M246" s="11">
        <f>I246*K246</f>
        <v/>
      </c>
      <c r="N246" s="12">
        <f>LN(G246)</f>
        <v/>
      </c>
      <c r="O246" s="12">
        <f>H246*Beta_0+I246*Beta_1+J246*Beta_2+K246*Beta_3+L246*Beta_4+M246*Beta_5</f>
        <v/>
      </c>
      <c r="P246" s="12">
        <f>N246-O246</f>
        <v/>
      </c>
      <c r="Q246" s="13">
        <f>EXP(O246)*Smearing_Factor</f>
        <v/>
      </c>
    </row>
    <row r="247">
      <c r="A247" t="n">
        <v>246</v>
      </c>
      <c r="B247" t="inlineStr">
        <is>
          <t>Health and welfare</t>
        </is>
      </c>
      <c r="C247" s="9" t="n">
        <v>2.74</v>
      </c>
      <c r="D247" t="n">
        <v>3</v>
      </c>
      <c r="E247" t="n">
        <v>0</v>
      </c>
      <c r="F247" t="n">
        <v>1</v>
      </c>
      <c r="G247" s="10" t="n">
        <v>3040</v>
      </c>
      <c r="H247" t="n">
        <v>1</v>
      </c>
      <c r="I247" s="11">
        <f>C247-CGPA_Mean</f>
        <v/>
      </c>
      <c r="J247">
        <f>D247</f>
        <v/>
      </c>
      <c r="K247">
        <f>E247</f>
        <v/>
      </c>
      <c r="L247">
        <f>F247</f>
        <v/>
      </c>
      <c r="M247" s="11">
        <f>I247*K247</f>
        <v/>
      </c>
      <c r="N247" s="12">
        <f>LN(G247)</f>
        <v/>
      </c>
      <c r="O247" s="12">
        <f>H247*Beta_0+I247*Beta_1+J247*Beta_2+K247*Beta_3+L247*Beta_4+M247*Beta_5</f>
        <v/>
      </c>
      <c r="P247" s="12">
        <f>N247-O247</f>
        <v/>
      </c>
      <c r="Q247" s="13">
        <f>EXP(O247)*Smearing_Factor</f>
        <v/>
      </c>
    </row>
    <row r="248">
      <c r="A248" t="n">
        <v>247</v>
      </c>
      <c r="B248" t="inlineStr">
        <is>
          <t>Information and communication technologies</t>
        </is>
      </c>
      <c r="C248" s="9" t="n">
        <v>3.42</v>
      </c>
      <c r="D248" t="n">
        <v>9</v>
      </c>
      <c r="E248" t="n">
        <v>1</v>
      </c>
      <c r="F248" t="n">
        <v>0</v>
      </c>
      <c r="G248" s="10" t="n">
        <v>3740</v>
      </c>
      <c r="H248" t="n">
        <v>1</v>
      </c>
      <c r="I248" s="11">
        <f>C248-CGPA_Mean</f>
        <v/>
      </c>
      <c r="J248">
        <f>D248</f>
        <v/>
      </c>
      <c r="K248">
        <f>E248</f>
        <v/>
      </c>
      <c r="L248">
        <f>F248</f>
        <v/>
      </c>
      <c r="M248" s="11">
        <f>I248*K248</f>
        <v/>
      </c>
      <c r="N248" s="12">
        <f>LN(G248)</f>
        <v/>
      </c>
      <c r="O248" s="12">
        <f>H248*Beta_0+I248*Beta_1+J248*Beta_2+K248*Beta_3+L248*Beta_4+M248*Beta_5</f>
        <v/>
      </c>
      <c r="P248" s="12">
        <f>N248-O248</f>
        <v/>
      </c>
      <c r="Q248" s="13">
        <f>EXP(O248)*Smearing_Factor</f>
        <v/>
      </c>
    </row>
    <row r="249">
      <c r="A249" t="n">
        <v>248</v>
      </c>
      <c r="B249" t="inlineStr">
        <is>
          <t>Engineering, manufacturing and construction</t>
        </is>
      </c>
      <c r="C249" s="9" t="n">
        <v>2.73</v>
      </c>
      <c r="D249" t="n">
        <v>6</v>
      </c>
      <c r="E249" t="n">
        <v>1</v>
      </c>
      <c r="F249" t="n">
        <v>0</v>
      </c>
      <c r="G249" s="10" t="n">
        <v>2840</v>
      </c>
      <c r="H249" t="n">
        <v>1</v>
      </c>
      <c r="I249" s="11">
        <f>C249-CGPA_Mean</f>
        <v/>
      </c>
      <c r="J249">
        <f>D249</f>
        <v/>
      </c>
      <c r="K249">
        <f>E249</f>
        <v/>
      </c>
      <c r="L249">
        <f>F249</f>
        <v/>
      </c>
      <c r="M249" s="11">
        <f>I249*K249</f>
        <v/>
      </c>
      <c r="N249" s="12">
        <f>LN(G249)</f>
        <v/>
      </c>
      <c r="O249" s="12">
        <f>H249*Beta_0+I249*Beta_1+J249*Beta_2+K249*Beta_3+L249*Beta_4+M249*Beta_5</f>
        <v/>
      </c>
      <c r="P249" s="12">
        <f>N249-O249</f>
        <v/>
      </c>
      <c r="Q249" s="13">
        <f>EXP(O249)*Smearing_Factor</f>
        <v/>
      </c>
    </row>
    <row r="250">
      <c r="A250" t="n">
        <v>249</v>
      </c>
      <c r="B250" t="inlineStr">
        <is>
          <t>Education</t>
        </is>
      </c>
      <c r="C250" s="9" t="n">
        <v>3.25</v>
      </c>
      <c r="D250" t="n">
        <v>3</v>
      </c>
      <c r="E250" t="n">
        <v>0</v>
      </c>
      <c r="F250" t="n">
        <v>0</v>
      </c>
      <c r="G250" s="10" t="n">
        <v>2160</v>
      </c>
      <c r="H250" t="n">
        <v>1</v>
      </c>
      <c r="I250" s="11">
        <f>C250-CGPA_Mean</f>
        <v/>
      </c>
      <c r="J250">
        <f>D250</f>
        <v/>
      </c>
      <c r="K250">
        <f>E250</f>
        <v/>
      </c>
      <c r="L250">
        <f>F250</f>
        <v/>
      </c>
      <c r="M250" s="11">
        <f>I250*K250</f>
        <v/>
      </c>
      <c r="N250" s="12">
        <f>LN(G250)</f>
        <v/>
      </c>
      <c r="O250" s="12">
        <f>H250*Beta_0+I250*Beta_1+J250*Beta_2+K250*Beta_3+L250*Beta_4+M250*Beta_5</f>
        <v/>
      </c>
      <c r="P250" s="12">
        <f>N250-O250</f>
        <v/>
      </c>
      <c r="Q250" s="13">
        <f>EXP(O250)*Smearing_Factor</f>
        <v/>
      </c>
    </row>
    <row r="251">
      <c r="A251" t="n">
        <v>250</v>
      </c>
      <c r="B251" t="inlineStr">
        <is>
          <t>Engineering, manufacturing and construction</t>
        </is>
      </c>
      <c r="C251" s="9" t="n">
        <v>3.17</v>
      </c>
      <c r="D251" t="n">
        <v>6</v>
      </c>
      <c r="E251" t="n">
        <v>1</v>
      </c>
      <c r="F251" t="n">
        <v>1</v>
      </c>
      <c r="G251" s="10" t="n">
        <v>810</v>
      </c>
      <c r="H251" t="n">
        <v>1</v>
      </c>
      <c r="I251" s="11">
        <f>C251-CGPA_Mean</f>
        <v/>
      </c>
      <c r="J251">
        <f>D251</f>
        <v/>
      </c>
      <c r="K251">
        <f>E251</f>
        <v/>
      </c>
      <c r="L251">
        <f>F251</f>
        <v/>
      </c>
      <c r="M251" s="11">
        <f>I251*K251</f>
        <v/>
      </c>
      <c r="N251" s="12">
        <f>LN(G251)</f>
        <v/>
      </c>
      <c r="O251" s="12">
        <f>H251*Beta_0+I251*Beta_1+J251*Beta_2+K251*Beta_3+L251*Beta_4+M251*Beta_5</f>
        <v/>
      </c>
      <c r="P251" s="12">
        <f>N251-O251</f>
        <v/>
      </c>
      <c r="Q251" s="13">
        <f>EXP(O251)*Smearing_Factor</f>
        <v/>
      </c>
    </row>
    <row r="252">
      <c r="A252" t="n">
        <v>251</v>
      </c>
      <c r="B252" t="inlineStr">
        <is>
          <t>Health and welfare</t>
        </is>
      </c>
      <c r="C252" s="9" t="n">
        <v>3.03</v>
      </c>
      <c r="D252" t="n">
        <v>3</v>
      </c>
      <c r="E252" t="n">
        <v>0</v>
      </c>
      <c r="F252" t="n">
        <v>0</v>
      </c>
      <c r="G252" s="10" t="n">
        <v>3780</v>
      </c>
      <c r="H252" t="n">
        <v>1</v>
      </c>
      <c r="I252" s="11">
        <f>C252-CGPA_Mean</f>
        <v/>
      </c>
      <c r="J252">
        <f>D252</f>
        <v/>
      </c>
      <c r="K252">
        <f>E252</f>
        <v/>
      </c>
      <c r="L252">
        <f>F252</f>
        <v/>
      </c>
      <c r="M252" s="11">
        <f>I252*K252</f>
        <v/>
      </c>
      <c r="N252" s="12">
        <f>LN(G252)</f>
        <v/>
      </c>
      <c r="O252" s="12">
        <f>H252*Beta_0+I252*Beta_1+J252*Beta_2+K252*Beta_3+L252*Beta_4+M252*Beta_5</f>
        <v/>
      </c>
      <c r="P252" s="12">
        <f>N252-O252</f>
        <v/>
      </c>
      <c r="Q252" s="13">
        <f>EXP(O252)*Smearing_Factor</f>
        <v/>
      </c>
    </row>
    <row r="253">
      <c r="A253" t="n">
        <v>252</v>
      </c>
      <c r="B253" t="inlineStr">
        <is>
          <t>Engineering, manufacturing and construction</t>
        </is>
      </c>
      <c r="C253" s="9" t="n">
        <v>2.94</v>
      </c>
      <c r="D253" t="n">
        <v>3</v>
      </c>
      <c r="E253" t="n">
        <v>1</v>
      </c>
      <c r="F253" t="n">
        <v>1</v>
      </c>
      <c r="G253" s="10" t="n">
        <v>3810</v>
      </c>
      <c r="H253" t="n">
        <v>1</v>
      </c>
      <c r="I253" s="11">
        <f>C253-CGPA_Mean</f>
        <v/>
      </c>
      <c r="J253">
        <f>D253</f>
        <v/>
      </c>
      <c r="K253">
        <f>E253</f>
        <v/>
      </c>
      <c r="L253">
        <f>F253</f>
        <v/>
      </c>
      <c r="M253" s="11">
        <f>I253*K253</f>
        <v/>
      </c>
      <c r="N253" s="12">
        <f>LN(G253)</f>
        <v/>
      </c>
      <c r="O253" s="12">
        <f>H253*Beta_0+I253*Beta_1+J253*Beta_2+K253*Beta_3+L253*Beta_4+M253*Beta_5</f>
        <v/>
      </c>
      <c r="P253" s="12">
        <f>N253-O253</f>
        <v/>
      </c>
      <c r="Q253" s="13">
        <f>EXP(O253)*Smearing_Factor</f>
        <v/>
      </c>
    </row>
    <row r="254">
      <c r="A254" t="n">
        <v>253</v>
      </c>
      <c r="B254" t="inlineStr">
        <is>
          <t>Social sciences, journalism and information</t>
        </is>
      </c>
      <c r="C254" s="9" t="n">
        <v>3.13</v>
      </c>
      <c r="D254" t="n">
        <v>9</v>
      </c>
      <c r="E254" t="n">
        <v>0</v>
      </c>
      <c r="F254" t="n">
        <v>0</v>
      </c>
      <c r="G254" s="10" t="n">
        <v>2460</v>
      </c>
      <c r="H254" t="n">
        <v>1</v>
      </c>
      <c r="I254" s="11">
        <f>C254-CGPA_Mean</f>
        <v/>
      </c>
      <c r="J254">
        <f>D254</f>
        <v/>
      </c>
      <c r="K254">
        <f>E254</f>
        <v/>
      </c>
      <c r="L254">
        <f>F254</f>
        <v/>
      </c>
      <c r="M254" s="11">
        <f>I254*K254</f>
        <v/>
      </c>
      <c r="N254" s="12">
        <f>LN(G254)</f>
        <v/>
      </c>
      <c r="O254" s="12">
        <f>H254*Beta_0+I254*Beta_1+J254*Beta_2+K254*Beta_3+L254*Beta_4+M254*Beta_5</f>
        <v/>
      </c>
      <c r="P254" s="12">
        <f>N254-O254</f>
        <v/>
      </c>
      <c r="Q254" s="13">
        <f>EXP(O254)*Smearing_Factor</f>
        <v/>
      </c>
    </row>
    <row r="255">
      <c r="A255" t="n">
        <v>254</v>
      </c>
      <c r="B255" t="inlineStr">
        <is>
          <t>Social sciences, journalism and information</t>
        </is>
      </c>
      <c r="C255" s="9" t="n">
        <v>3.23</v>
      </c>
      <c r="D255" t="n">
        <v>6</v>
      </c>
      <c r="E255" t="n">
        <v>0</v>
      </c>
      <c r="F255" t="n">
        <v>1</v>
      </c>
      <c r="G255" s="10" t="n">
        <v>4240</v>
      </c>
      <c r="H255" t="n">
        <v>1</v>
      </c>
      <c r="I255" s="11">
        <f>C255-CGPA_Mean</f>
        <v/>
      </c>
      <c r="J255">
        <f>D255</f>
        <v/>
      </c>
      <c r="K255">
        <f>E255</f>
        <v/>
      </c>
      <c r="L255">
        <f>F255</f>
        <v/>
      </c>
      <c r="M255" s="11">
        <f>I255*K255</f>
        <v/>
      </c>
      <c r="N255" s="12">
        <f>LN(G255)</f>
        <v/>
      </c>
      <c r="O255" s="12">
        <f>H255*Beta_0+I255*Beta_1+J255*Beta_2+K255*Beta_3+L255*Beta_4+M255*Beta_5</f>
        <v/>
      </c>
      <c r="P255" s="12">
        <f>N255-O255</f>
        <v/>
      </c>
      <c r="Q255" s="13">
        <f>EXP(O255)*Smearing_Factor</f>
        <v/>
      </c>
    </row>
    <row r="256">
      <c r="A256" t="n">
        <v>255</v>
      </c>
      <c r="B256" t="inlineStr">
        <is>
          <t>Education</t>
        </is>
      </c>
      <c r="C256" s="9" t="n">
        <v>3.21</v>
      </c>
      <c r="D256" t="n">
        <v>9</v>
      </c>
      <c r="E256" t="n">
        <v>0</v>
      </c>
      <c r="F256" t="n">
        <v>1</v>
      </c>
      <c r="G256" s="10" t="n">
        <v>2390</v>
      </c>
      <c r="H256" t="n">
        <v>1</v>
      </c>
      <c r="I256" s="11">
        <f>C256-CGPA_Mean</f>
        <v/>
      </c>
      <c r="J256">
        <f>D256</f>
        <v/>
      </c>
      <c r="K256">
        <f>E256</f>
        <v/>
      </c>
      <c r="L256">
        <f>F256</f>
        <v/>
      </c>
      <c r="M256" s="11">
        <f>I256*K256</f>
        <v/>
      </c>
      <c r="N256" s="12">
        <f>LN(G256)</f>
        <v/>
      </c>
      <c r="O256" s="12">
        <f>H256*Beta_0+I256*Beta_1+J256*Beta_2+K256*Beta_3+L256*Beta_4+M256*Beta_5</f>
        <v/>
      </c>
      <c r="P256" s="12">
        <f>N256-O256</f>
        <v/>
      </c>
      <c r="Q256" s="13">
        <f>EXP(O256)*Smearing_Factor</f>
        <v/>
      </c>
    </row>
    <row r="257">
      <c r="A257" t="n">
        <v>256</v>
      </c>
      <c r="B257" t="inlineStr">
        <is>
          <t>Arts and humanities</t>
        </is>
      </c>
      <c r="C257" s="9" t="n">
        <v>3.43</v>
      </c>
      <c r="D257" t="n">
        <v>6</v>
      </c>
      <c r="E257" t="n">
        <v>0</v>
      </c>
      <c r="F257" t="n">
        <v>0</v>
      </c>
      <c r="G257" s="10" t="n">
        <v>1960</v>
      </c>
      <c r="H257" t="n">
        <v>1</v>
      </c>
      <c r="I257" s="11">
        <f>C257-CGPA_Mean</f>
        <v/>
      </c>
      <c r="J257">
        <f>D257</f>
        <v/>
      </c>
      <c r="K257">
        <f>E257</f>
        <v/>
      </c>
      <c r="L257">
        <f>F257</f>
        <v/>
      </c>
      <c r="M257" s="11">
        <f>I257*K257</f>
        <v/>
      </c>
      <c r="N257" s="12">
        <f>LN(G257)</f>
        <v/>
      </c>
      <c r="O257" s="12">
        <f>H257*Beta_0+I257*Beta_1+J257*Beta_2+K257*Beta_3+L257*Beta_4+M257*Beta_5</f>
        <v/>
      </c>
      <c r="P257" s="12">
        <f>N257-O257</f>
        <v/>
      </c>
      <c r="Q257" s="13">
        <f>EXP(O257)*Smearing_Factor</f>
        <v/>
      </c>
    </row>
    <row r="258">
      <c r="A258" t="n">
        <v>257</v>
      </c>
      <c r="B258" t="inlineStr">
        <is>
          <t>Engineering, manufacturing and construction</t>
        </is>
      </c>
      <c r="C258" s="9" t="n">
        <v>2.64</v>
      </c>
      <c r="D258" t="n">
        <v>6</v>
      </c>
      <c r="E258" t="n">
        <v>1</v>
      </c>
      <c r="F258" t="n">
        <v>0</v>
      </c>
      <c r="G258" s="10" t="n">
        <v>2560</v>
      </c>
      <c r="H258" t="n">
        <v>1</v>
      </c>
      <c r="I258" s="11">
        <f>C258-CGPA_Mean</f>
        <v/>
      </c>
      <c r="J258">
        <f>D258</f>
        <v/>
      </c>
      <c r="K258">
        <f>E258</f>
        <v/>
      </c>
      <c r="L258">
        <f>F258</f>
        <v/>
      </c>
      <c r="M258" s="11">
        <f>I258*K258</f>
        <v/>
      </c>
      <c r="N258" s="12">
        <f>LN(G258)</f>
        <v/>
      </c>
      <c r="O258" s="12">
        <f>H258*Beta_0+I258*Beta_1+J258*Beta_2+K258*Beta_3+L258*Beta_4+M258*Beta_5</f>
        <v/>
      </c>
      <c r="P258" s="12">
        <f>N258-O258</f>
        <v/>
      </c>
      <c r="Q258" s="13">
        <f>EXP(O258)*Smearing_Factor</f>
        <v/>
      </c>
    </row>
    <row r="259">
      <c r="A259" t="n">
        <v>258</v>
      </c>
      <c r="B259" t="inlineStr">
        <is>
          <t>Education</t>
        </is>
      </c>
      <c r="C259" s="9" t="n">
        <v>3.47</v>
      </c>
      <c r="D259" t="n">
        <v>6</v>
      </c>
      <c r="E259" t="n">
        <v>0</v>
      </c>
      <c r="F259" t="n">
        <v>0</v>
      </c>
      <c r="G259" s="10" t="n">
        <v>1360</v>
      </c>
      <c r="H259" t="n">
        <v>1</v>
      </c>
      <c r="I259" s="11">
        <f>C259-CGPA_Mean</f>
        <v/>
      </c>
      <c r="J259">
        <f>D259</f>
        <v/>
      </c>
      <c r="K259">
        <f>E259</f>
        <v/>
      </c>
      <c r="L259">
        <f>F259</f>
        <v/>
      </c>
      <c r="M259" s="11">
        <f>I259*K259</f>
        <v/>
      </c>
      <c r="N259" s="12">
        <f>LN(G259)</f>
        <v/>
      </c>
      <c r="O259" s="12">
        <f>H259*Beta_0+I259*Beta_1+J259*Beta_2+K259*Beta_3+L259*Beta_4+M259*Beta_5</f>
        <v/>
      </c>
      <c r="P259" s="12">
        <f>N259-O259</f>
        <v/>
      </c>
      <c r="Q259" s="13">
        <f>EXP(O259)*Smearing_Factor</f>
        <v/>
      </c>
    </row>
    <row r="260">
      <c r="A260" t="n">
        <v>259</v>
      </c>
      <c r="B260" t="inlineStr">
        <is>
          <t>Engineering, manufacturing and construction</t>
        </is>
      </c>
      <c r="C260" s="9" t="n">
        <v>2.78</v>
      </c>
      <c r="D260" t="n">
        <v>6</v>
      </c>
      <c r="E260" t="n">
        <v>1</v>
      </c>
      <c r="F260" t="n">
        <v>0</v>
      </c>
      <c r="G260" s="10" t="n">
        <v>2530</v>
      </c>
      <c r="H260" t="n">
        <v>1</v>
      </c>
      <c r="I260" s="11">
        <f>C260-CGPA_Mean</f>
        <v/>
      </c>
      <c r="J260">
        <f>D260</f>
        <v/>
      </c>
      <c r="K260">
        <f>E260</f>
        <v/>
      </c>
      <c r="L260">
        <f>F260</f>
        <v/>
      </c>
      <c r="M260" s="11">
        <f>I260*K260</f>
        <v/>
      </c>
      <c r="N260" s="12">
        <f>LN(G260)</f>
        <v/>
      </c>
      <c r="O260" s="12">
        <f>H260*Beta_0+I260*Beta_1+J260*Beta_2+K260*Beta_3+L260*Beta_4+M260*Beta_5</f>
        <v/>
      </c>
      <c r="P260" s="12">
        <f>N260-O260</f>
        <v/>
      </c>
      <c r="Q260" s="13">
        <f>EXP(O260)*Smearing_Factor</f>
        <v/>
      </c>
    </row>
    <row r="261">
      <c r="A261" t="n">
        <v>260</v>
      </c>
      <c r="B261" t="inlineStr">
        <is>
          <t>Business, administration and law</t>
        </is>
      </c>
      <c r="C261" s="9" t="n">
        <v>3.47</v>
      </c>
      <c r="D261" t="n">
        <v>6</v>
      </c>
      <c r="E261" t="n">
        <v>0</v>
      </c>
      <c r="F261" t="n">
        <v>1</v>
      </c>
      <c r="G261" s="10" t="n">
        <v>1750</v>
      </c>
      <c r="H261" t="n">
        <v>1</v>
      </c>
      <c r="I261" s="11">
        <f>C261-CGPA_Mean</f>
        <v/>
      </c>
      <c r="J261">
        <f>D261</f>
        <v/>
      </c>
      <c r="K261">
        <f>E261</f>
        <v/>
      </c>
      <c r="L261">
        <f>F261</f>
        <v/>
      </c>
      <c r="M261" s="11">
        <f>I261*K261</f>
        <v/>
      </c>
      <c r="N261" s="12">
        <f>LN(G261)</f>
        <v/>
      </c>
      <c r="O261" s="12">
        <f>H261*Beta_0+I261*Beta_1+J261*Beta_2+K261*Beta_3+L261*Beta_4+M261*Beta_5</f>
        <v/>
      </c>
      <c r="P261" s="12">
        <f>N261-O261</f>
        <v/>
      </c>
      <c r="Q261" s="13">
        <f>EXP(O261)*Smearing_Factor</f>
        <v/>
      </c>
    </row>
    <row r="262">
      <c r="A262" t="n">
        <v>261</v>
      </c>
      <c r="B262" t="inlineStr">
        <is>
          <t>Business, administration and law</t>
        </is>
      </c>
      <c r="C262" s="9" t="n">
        <v>3.52</v>
      </c>
      <c r="D262" t="n">
        <v>3</v>
      </c>
      <c r="E262" t="n">
        <v>0</v>
      </c>
      <c r="F262" t="n">
        <v>1</v>
      </c>
      <c r="G262" s="10" t="n">
        <v>2180</v>
      </c>
      <c r="H262" t="n">
        <v>1</v>
      </c>
      <c r="I262" s="11">
        <f>C262-CGPA_Mean</f>
        <v/>
      </c>
      <c r="J262">
        <f>D262</f>
        <v/>
      </c>
      <c r="K262">
        <f>E262</f>
        <v/>
      </c>
      <c r="L262">
        <f>F262</f>
        <v/>
      </c>
      <c r="M262" s="11">
        <f>I262*K262</f>
        <v/>
      </c>
      <c r="N262" s="12">
        <f>LN(G262)</f>
        <v/>
      </c>
      <c r="O262" s="12">
        <f>H262*Beta_0+I262*Beta_1+J262*Beta_2+K262*Beta_3+L262*Beta_4+M262*Beta_5</f>
        <v/>
      </c>
      <c r="P262" s="12">
        <f>N262-O262</f>
        <v/>
      </c>
      <c r="Q262" s="13">
        <f>EXP(O262)*Smearing_Factor</f>
        <v/>
      </c>
    </row>
    <row r="263">
      <c r="A263" t="n">
        <v>262</v>
      </c>
      <c r="B263" t="inlineStr">
        <is>
          <t>Business, administration and law</t>
        </is>
      </c>
      <c r="C263" s="9" t="n">
        <v>3.54</v>
      </c>
      <c r="D263" t="n">
        <v>6</v>
      </c>
      <c r="E263" t="n">
        <v>0</v>
      </c>
      <c r="F263" t="n">
        <v>0</v>
      </c>
      <c r="G263" s="10" t="n">
        <v>880</v>
      </c>
      <c r="H263" t="n">
        <v>1</v>
      </c>
      <c r="I263" s="11">
        <f>C263-CGPA_Mean</f>
        <v/>
      </c>
      <c r="J263">
        <f>D263</f>
        <v/>
      </c>
      <c r="K263">
        <f>E263</f>
        <v/>
      </c>
      <c r="L263">
        <f>F263</f>
        <v/>
      </c>
      <c r="M263" s="11">
        <f>I263*K263</f>
        <v/>
      </c>
      <c r="N263" s="12">
        <f>LN(G263)</f>
        <v/>
      </c>
      <c r="O263" s="12">
        <f>H263*Beta_0+I263*Beta_1+J263*Beta_2+K263*Beta_3+L263*Beta_4+M263*Beta_5</f>
        <v/>
      </c>
      <c r="P263" s="12">
        <f>N263-O263</f>
        <v/>
      </c>
      <c r="Q263" s="13">
        <f>EXP(O263)*Smearing_Factor</f>
        <v/>
      </c>
    </row>
    <row r="264">
      <c r="A264" t="n">
        <v>263</v>
      </c>
      <c r="B264" t="inlineStr">
        <is>
          <t>Business, administration and law</t>
        </is>
      </c>
      <c r="C264" s="9" t="n">
        <v>3.59</v>
      </c>
      <c r="D264" t="n">
        <v>6</v>
      </c>
      <c r="E264" t="n">
        <v>0</v>
      </c>
      <c r="F264" t="n">
        <v>1</v>
      </c>
      <c r="G264" s="10" t="n">
        <v>2170</v>
      </c>
      <c r="H264" t="n">
        <v>1</v>
      </c>
      <c r="I264" s="11">
        <f>C264-CGPA_Mean</f>
        <v/>
      </c>
      <c r="J264">
        <f>D264</f>
        <v/>
      </c>
      <c r="K264">
        <f>E264</f>
        <v/>
      </c>
      <c r="L264">
        <f>F264</f>
        <v/>
      </c>
      <c r="M264" s="11">
        <f>I264*K264</f>
        <v/>
      </c>
      <c r="N264" s="12">
        <f>LN(G264)</f>
        <v/>
      </c>
      <c r="O264" s="12">
        <f>H264*Beta_0+I264*Beta_1+J264*Beta_2+K264*Beta_3+L264*Beta_4+M264*Beta_5</f>
        <v/>
      </c>
      <c r="P264" s="12">
        <f>N264-O264</f>
        <v/>
      </c>
      <c r="Q264" s="13">
        <f>EXP(O264)*Smearing_Factor</f>
        <v/>
      </c>
    </row>
    <row r="265">
      <c r="A265" t="n">
        <v>264</v>
      </c>
      <c r="B265" t="inlineStr">
        <is>
          <t>Business, administration and law</t>
        </is>
      </c>
      <c r="C265" s="9" t="n">
        <v>2.77</v>
      </c>
      <c r="D265" t="n">
        <v>3</v>
      </c>
      <c r="E265" t="n">
        <v>0</v>
      </c>
      <c r="F265" t="n">
        <v>1</v>
      </c>
      <c r="G265" s="10" t="n">
        <v>3460</v>
      </c>
      <c r="H265" t="n">
        <v>1</v>
      </c>
      <c r="I265" s="11">
        <f>C265-CGPA_Mean</f>
        <v/>
      </c>
      <c r="J265">
        <f>D265</f>
        <v/>
      </c>
      <c r="K265">
        <f>E265</f>
        <v/>
      </c>
      <c r="L265">
        <f>F265</f>
        <v/>
      </c>
      <c r="M265" s="11">
        <f>I265*K265</f>
        <v/>
      </c>
      <c r="N265" s="12">
        <f>LN(G265)</f>
        <v/>
      </c>
      <c r="O265" s="12">
        <f>H265*Beta_0+I265*Beta_1+J265*Beta_2+K265*Beta_3+L265*Beta_4+M265*Beta_5</f>
        <v/>
      </c>
      <c r="P265" s="12">
        <f>N265-O265</f>
        <v/>
      </c>
      <c r="Q265" s="13">
        <f>EXP(O265)*Smearing_Factor</f>
        <v/>
      </c>
    </row>
    <row r="266">
      <c r="A266" t="n">
        <v>265</v>
      </c>
      <c r="B266" t="inlineStr">
        <is>
          <t>Education</t>
        </is>
      </c>
      <c r="C266" s="9" t="n">
        <v>3.2</v>
      </c>
      <c r="D266" t="n">
        <v>6</v>
      </c>
      <c r="E266" t="n">
        <v>0</v>
      </c>
      <c r="F266" t="n">
        <v>1</v>
      </c>
      <c r="G266" s="10" t="n">
        <v>3000</v>
      </c>
      <c r="H266" t="n">
        <v>1</v>
      </c>
      <c r="I266" s="11">
        <f>C266-CGPA_Mean</f>
        <v/>
      </c>
      <c r="J266">
        <f>D266</f>
        <v/>
      </c>
      <c r="K266">
        <f>E266</f>
        <v/>
      </c>
      <c r="L266">
        <f>F266</f>
        <v/>
      </c>
      <c r="M266" s="11">
        <f>I266*K266</f>
        <v/>
      </c>
      <c r="N266" s="12">
        <f>LN(G266)</f>
        <v/>
      </c>
      <c r="O266" s="12">
        <f>H266*Beta_0+I266*Beta_1+J266*Beta_2+K266*Beta_3+L266*Beta_4+M266*Beta_5</f>
        <v/>
      </c>
      <c r="P266" s="12">
        <f>N266-O266</f>
        <v/>
      </c>
      <c r="Q266" s="13">
        <f>EXP(O266)*Smearing_Factor</f>
        <v/>
      </c>
    </row>
    <row r="267">
      <c r="A267" t="n">
        <v>266</v>
      </c>
      <c r="B267" t="inlineStr">
        <is>
          <t>Business, administration and law</t>
        </is>
      </c>
      <c r="C267" s="9" t="n">
        <v>3.24</v>
      </c>
      <c r="D267" t="n">
        <v>9</v>
      </c>
      <c r="E267" t="n">
        <v>0</v>
      </c>
      <c r="F267" t="n">
        <v>1</v>
      </c>
      <c r="G267" s="10" t="n">
        <v>2740</v>
      </c>
      <c r="H267" t="n">
        <v>1</v>
      </c>
      <c r="I267" s="11">
        <f>C267-CGPA_Mean</f>
        <v/>
      </c>
      <c r="J267">
        <f>D267</f>
        <v/>
      </c>
      <c r="K267">
        <f>E267</f>
        <v/>
      </c>
      <c r="L267">
        <f>F267</f>
        <v/>
      </c>
      <c r="M267" s="11">
        <f>I267*K267</f>
        <v/>
      </c>
      <c r="N267" s="12">
        <f>LN(G267)</f>
        <v/>
      </c>
      <c r="O267" s="12">
        <f>H267*Beta_0+I267*Beta_1+J267*Beta_2+K267*Beta_3+L267*Beta_4+M267*Beta_5</f>
        <v/>
      </c>
      <c r="P267" s="12">
        <f>N267-O267</f>
        <v/>
      </c>
      <c r="Q267" s="13">
        <f>EXP(O267)*Smearing_Factor</f>
        <v/>
      </c>
    </row>
    <row r="268">
      <c r="A268" t="n">
        <v>267</v>
      </c>
      <c r="B268" t="inlineStr">
        <is>
          <t>Engineering, manufacturing and construction</t>
        </is>
      </c>
      <c r="C268" s="9" t="n">
        <v>3.14</v>
      </c>
      <c r="D268" t="n">
        <v>6</v>
      </c>
      <c r="E268" t="n">
        <v>1</v>
      </c>
      <c r="F268" t="n">
        <v>0</v>
      </c>
      <c r="G268" s="10" t="n">
        <v>2740</v>
      </c>
      <c r="H268" t="n">
        <v>1</v>
      </c>
      <c r="I268" s="11">
        <f>C268-CGPA_Mean</f>
        <v/>
      </c>
      <c r="J268">
        <f>D268</f>
        <v/>
      </c>
      <c r="K268">
        <f>E268</f>
        <v/>
      </c>
      <c r="L268">
        <f>F268</f>
        <v/>
      </c>
      <c r="M268" s="11">
        <f>I268*K268</f>
        <v/>
      </c>
      <c r="N268" s="12">
        <f>LN(G268)</f>
        <v/>
      </c>
      <c r="O268" s="12">
        <f>H268*Beta_0+I268*Beta_1+J268*Beta_2+K268*Beta_3+L268*Beta_4+M268*Beta_5</f>
        <v/>
      </c>
      <c r="P268" s="12">
        <f>N268-O268</f>
        <v/>
      </c>
      <c r="Q268" s="13">
        <f>EXP(O268)*Smearing_Factor</f>
        <v/>
      </c>
    </row>
    <row r="269">
      <c r="A269" t="n">
        <v>268</v>
      </c>
      <c r="B269" t="inlineStr">
        <is>
          <t>Business, administration and law</t>
        </is>
      </c>
      <c r="C269" s="9" t="n">
        <v>3.84</v>
      </c>
      <c r="D269" t="n">
        <v>9</v>
      </c>
      <c r="E269" t="n">
        <v>0</v>
      </c>
      <c r="F269" t="n">
        <v>1</v>
      </c>
      <c r="G269" s="10" t="n">
        <v>6990</v>
      </c>
      <c r="H269" t="n">
        <v>1</v>
      </c>
      <c r="I269" s="11">
        <f>C269-CGPA_Mean</f>
        <v/>
      </c>
      <c r="J269">
        <f>D269</f>
        <v/>
      </c>
      <c r="K269">
        <f>E269</f>
        <v/>
      </c>
      <c r="L269">
        <f>F269</f>
        <v/>
      </c>
      <c r="M269" s="11">
        <f>I269*K269</f>
        <v/>
      </c>
      <c r="N269" s="12">
        <f>LN(G269)</f>
        <v/>
      </c>
      <c r="O269" s="12">
        <f>H269*Beta_0+I269*Beta_1+J269*Beta_2+K269*Beta_3+L269*Beta_4+M269*Beta_5</f>
        <v/>
      </c>
      <c r="P269" s="12">
        <f>N269-O269</f>
        <v/>
      </c>
      <c r="Q269" s="13">
        <f>EXP(O269)*Smearing_Factor</f>
        <v/>
      </c>
    </row>
    <row r="270">
      <c r="A270" t="n">
        <v>269</v>
      </c>
      <c r="B270" t="inlineStr">
        <is>
          <t>Engineering, manufacturing and construction</t>
        </is>
      </c>
      <c r="C270" s="9" t="n">
        <v>3.43</v>
      </c>
      <c r="D270" t="n">
        <v>6</v>
      </c>
      <c r="E270" t="n">
        <v>1</v>
      </c>
      <c r="F270" t="n">
        <v>0</v>
      </c>
      <c r="G270" s="10" t="n">
        <v>4740</v>
      </c>
      <c r="H270" t="n">
        <v>1</v>
      </c>
      <c r="I270" s="11">
        <f>C270-CGPA_Mean</f>
        <v/>
      </c>
      <c r="J270">
        <f>D270</f>
        <v/>
      </c>
      <c r="K270">
        <f>E270</f>
        <v/>
      </c>
      <c r="L270">
        <f>F270</f>
        <v/>
      </c>
      <c r="M270" s="11">
        <f>I270*K270</f>
        <v/>
      </c>
      <c r="N270" s="12">
        <f>LN(G270)</f>
        <v/>
      </c>
      <c r="O270" s="12">
        <f>H270*Beta_0+I270*Beta_1+J270*Beta_2+K270*Beta_3+L270*Beta_4+M270*Beta_5</f>
        <v/>
      </c>
      <c r="P270" s="12">
        <f>N270-O270</f>
        <v/>
      </c>
      <c r="Q270" s="13">
        <f>EXP(O270)*Smearing_Factor</f>
        <v/>
      </c>
    </row>
    <row r="271">
      <c r="A271" t="n">
        <v>270</v>
      </c>
      <c r="B271" t="inlineStr">
        <is>
          <t>Engineering, manufacturing and construction</t>
        </is>
      </c>
      <c r="C271" s="9" t="n">
        <v>3.61</v>
      </c>
      <c r="D271" t="n">
        <v>3</v>
      </c>
      <c r="E271" t="n">
        <v>1</v>
      </c>
      <c r="F271" t="n">
        <v>1</v>
      </c>
      <c r="G271" s="10" t="n">
        <v>3990</v>
      </c>
      <c r="H271" t="n">
        <v>1</v>
      </c>
      <c r="I271" s="11">
        <f>C271-CGPA_Mean</f>
        <v/>
      </c>
      <c r="J271">
        <f>D271</f>
        <v/>
      </c>
      <c r="K271">
        <f>E271</f>
        <v/>
      </c>
      <c r="L271">
        <f>F271</f>
        <v/>
      </c>
      <c r="M271" s="11">
        <f>I271*K271</f>
        <v/>
      </c>
      <c r="N271" s="12">
        <f>LN(G271)</f>
        <v/>
      </c>
      <c r="O271" s="12">
        <f>H271*Beta_0+I271*Beta_1+J271*Beta_2+K271*Beta_3+L271*Beta_4+M271*Beta_5</f>
        <v/>
      </c>
      <c r="P271" s="12">
        <f>N271-O271</f>
        <v/>
      </c>
      <c r="Q271" s="13">
        <f>EXP(O271)*Smearing_Factor</f>
        <v/>
      </c>
    </row>
    <row r="272">
      <c r="A272" t="n">
        <v>271</v>
      </c>
      <c r="B272" t="inlineStr">
        <is>
          <t>Business, administration and law</t>
        </is>
      </c>
      <c r="C272" s="9" t="n">
        <v>2.92</v>
      </c>
      <c r="D272" t="n">
        <v>6</v>
      </c>
      <c r="E272" t="n">
        <v>0</v>
      </c>
      <c r="F272" t="n">
        <v>0</v>
      </c>
      <c r="G272" s="10" t="n">
        <v>1770</v>
      </c>
      <c r="H272" t="n">
        <v>1</v>
      </c>
      <c r="I272" s="11">
        <f>C272-CGPA_Mean</f>
        <v/>
      </c>
      <c r="J272">
        <f>D272</f>
        <v/>
      </c>
      <c r="K272">
        <f>E272</f>
        <v/>
      </c>
      <c r="L272">
        <f>F272</f>
        <v/>
      </c>
      <c r="M272" s="11">
        <f>I272*K272</f>
        <v/>
      </c>
      <c r="N272" s="12">
        <f>LN(G272)</f>
        <v/>
      </c>
      <c r="O272" s="12">
        <f>H272*Beta_0+I272*Beta_1+J272*Beta_2+K272*Beta_3+L272*Beta_4+M272*Beta_5</f>
        <v/>
      </c>
      <c r="P272" s="12">
        <f>N272-O272</f>
        <v/>
      </c>
      <c r="Q272" s="13">
        <f>EXP(O272)*Smearing_Factor</f>
        <v/>
      </c>
    </row>
    <row r="273">
      <c r="A273" t="n">
        <v>272</v>
      </c>
      <c r="B273" t="inlineStr">
        <is>
          <t>Engineering, manufacturing and construction</t>
        </is>
      </c>
      <c r="C273" s="9" t="n">
        <v>2.91</v>
      </c>
      <c r="D273" t="n">
        <v>9</v>
      </c>
      <c r="E273" t="n">
        <v>1</v>
      </c>
      <c r="F273" t="n">
        <v>0</v>
      </c>
      <c r="G273" s="10" t="n">
        <v>2260</v>
      </c>
      <c r="H273" t="n">
        <v>1</v>
      </c>
      <c r="I273" s="11">
        <f>C273-CGPA_Mean</f>
        <v/>
      </c>
      <c r="J273">
        <f>D273</f>
        <v/>
      </c>
      <c r="K273">
        <f>E273</f>
        <v/>
      </c>
      <c r="L273">
        <f>F273</f>
        <v/>
      </c>
      <c r="M273" s="11">
        <f>I273*K273</f>
        <v/>
      </c>
      <c r="N273" s="12">
        <f>LN(G273)</f>
        <v/>
      </c>
      <c r="O273" s="12">
        <f>H273*Beta_0+I273*Beta_1+J273*Beta_2+K273*Beta_3+L273*Beta_4+M273*Beta_5</f>
        <v/>
      </c>
      <c r="P273" s="12">
        <f>N273-O273</f>
        <v/>
      </c>
      <c r="Q273" s="13">
        <f>EXP(O273)*Smearing_Factor</f>
        <v/>
      </c>
    </row>
    <row r="274">
      <c r="A274" t="n">
        <v>273</v>
      </c>
      <c r="B274" t="inlineStr">
        <is>
          <t>Services</t>
        </is>
      </c>
      <c r="C274" s="9" t="n">
        <v>3.56</v>
      </c>
      <c r="D274" t="n">
        <v>9</v>
      </c>
      <c r="E274" t="n">
        <v>0</v>
      </c>
      <c r="F274" t="n">
        <v>1</v>
      </c>
      <c r="G274" s="10" t="n">
        <v>2530</v>
      </c>
      <c r="H274" t="n">
        <v>1</v>
      </c>
      <c r="I274" s="11">
        <f>C274-CGPA_Mean</f>
        <v/>
      </c>
      <c r="J274">
        <f>D274</f>
        <v/>
      </c>
      <c r="K274">
        <f>E274</f>
        <v/>
      </c>
      <c r="L274">
        <f>F274</f>
        <v/>
      </c>
      <c r="M274" s="11">
        <f>I274*K274</f>
        <v/>
      </c>
      <c r="N274" s="12">
        <f>LN(G274)</f>
        <v/>
      </c>
      <c r="O274" s="12">
        <f>H274*Beta_0+I274*Beta_1+J274*Beta_2+K274*Beta_3+L274*Beta_4+M274*Beta_5</f>
        <v/>
      </c>
      <c r="P274" s="12">
        <f>N274-O274</f>
        <v/>
      </c>
      <c r="Q274" s="13">
        <f>EXP(O274)*Smearing_Factor</f>
        <v/>
      </c>
    </row>
    <row r="275">
      <c r="A275" t="n">
        <v>274</v>
      </c>
      <c r="B275" t="inlineStr">
        <is>
          <t>Services</t>
        </is>
      </c>
      <c r="C275" s="9" t="n">
        <v>3.74</v>
      </c>
      <c r="D275" t="n">
        <v>6</v>
      </c>
      <c r="E275" t="n">
        <v>0</v>
      </c>
      <c r="F275" t="n">
        <v>1</v>
      </c>
      <c r="G275" s="10" t="n">
        <v>2940</v>
      </c>
      <c r="H275" t="n">
        <v>1</v>
      </c>
      <c r="I275" s="11">
        <f>C275-CGPA_Mean</f>
        <v/>
      </c>
      <c r="J275">
        <f>D275</f>
        <v/>
      </c>
      <c r="K275">
        <f>E275</f>
        <v/>
      </c>
      <c r="L275">
        <f>F275</f>
        <v/>
      </c>
      <c r="M275" s="11">
        <f>I275*K275</f>
        <v/>
      </c>
      <c r="N275" s="12">
        <f>LN(G275)</f>
        <v/>
      </c>
      <c r="O275" s="12">
        <f>H275*Beta_0+I275*Beta_1+J275*Beta_2+K275*Beta_3+L275*Beta_4+M275*Beta_5</f>
        <v/>
      </c>
      <c r="P275" s="12">
        <f>N275-O275</f>
        <v/>
      </c>
      <c r="Q275" s="13">
        <f>EXP(O275)*Smearing_Factor</f>
        <v/>
      </c>
    </row>
    <row r="276">
      <c r="A276" t="n">
        <v>275</v>
      </c>
      <c r="B276" t="inlineStr">
        <is>
          <t>Business, administration and law</t>
        </is>
      </c>
      <c r="C276" s="9" t="n">
        <v>3.44</v>
      </c>
      <c r="D276" t="n">
        <v>6</v>
      </c>
      <c r="E276" t="n">
        <v>0</v>
      </c>
      <c r="F276" t="n">
        <v>1</v>
      </c>
      <c r="G276" s="10" t="n">
        <v>2930</v>
      </c>
      <c r="H276" t="n">
        <v>1</v>
      </c>
      <c r="I276" s="11">
        <f>C276-CGPA_Mean</f>
        <v/>
      </c>
      <c r="J276">
        <f>D276</f>
        <v/>
      </c>
      <c r="K276">
        <f>E276</f>
        <v/>
      </c>
      <c r="L276">
        <f>F276</f>
        <v/>
      </c>
      <c r="M276" s="11">
        <f>I276*K276</f>
        <v/>
      </c>
      <c r="N276" s="12">
        <f>LN(G276)</f>
        <v/>
      </c>
      <c r="O276" s="12">
        <f>H276*Beta_0+I276*Beta_1+J276*Beta_2+K276*Beta_3+L276*Beta_4+M276*Beta_5</f>
        <v/>
      </c>
      <c r="P276" s="12">
        <f>N276-O276</f>
        <v/>
      </c>
      <c r="Q276" s="13">
        <f>EXP(O276)*Smearing_Factor</f>
        <v/>
      </c>
    </row>
    <row r="277">
      <c r="A277" t="n">
        <v>276</v>
      </c>
      <c r="B277" t="inlineStr">
        <is>
          <t>Business, administration and law</t>
        </is>
      </c>
      <c r="C277" s="9" t="n">
        <v>3.55</v>
      </c>
      <c r="D277" t="n">
        <v>6</v>
      </c>
      <c r="E277" t="n">
        <v>0</v>
      </c>
      <c r="F277" t="n">
        <v>1</v>
      </c>
      <c r="G277" s="10" t="n">
        <v>2100</v>
      </c>
      <c r="H277" t="n">
        <v>1</v>
      </c>
      <c r="I277" s="11">
        <f>C277-CGPA_Mean</f>
        <v/>
      </c>
      <c r="J277">
        <f>D277</f>
        <v/>
      </c>
      <c r="K277">
        <f>E277</f>
        <v/>
      </c>
      <c r="L277">
        <f>F277</f>
        <v/>
      </c>
      <c r="M277" s="11">
        <f>I277*K277</f>
        <v/>
      </c>
      <c r="N277" s="12">
        <f>LN(G277)</f>
        <v/>
      </c>
      <c r="O277" s="12">
        <f>H277*Beta_0+I277*Beta_1+J277*Beta_2+K277*Beta_3+L277*Beta_4+M277*Beta_5</f>
        <v/>
      </c>
      <c r="P277" s="12">
        <f>N277-O277</f>
        <v/>
      </c>
      <c r="Q277" s="13">
        <f>EXP(O277)*Smearing_Factor</f>
        <v/>
      </c>
    </row>
    <row r="278">
      <c r="A278" t="n">
        <v>277</v>
      </c>
      <c r="B278" t="inlineStr">
        <is>
          <t>Education</t>
        </is>
      </c>
      <c r="C278" s="9" t="n">
        <v>3.25</v>
      </c>
      <c r="D278" t="n">
        <v>3</v>
      </c>
      <c r="E278" t="n">
        <v>0</v>
      </c>
      <c r="F278" t="n">
        <v>0</v>
      </c>
      <c r="G278" s="10" t="n">
        <v>810</v>
      </c>
      <c r="H278" t="n">
        <v>1</v>
      </c>
      <c r="I278" s="11">
        <f>C278-CGPA_Mean</f>
        <v/>
      </c>
      <c r="J278">
        <f>D278</f>
        <v/>
      </c>
      <c r="K278">
        <f>E278</f>
        <v/>
      </c>
      <c r="L278">
        <f>F278</f>
        <v/>
      </c>
      <c r="M278" s="11">
        <f>I278*K278</f>
        <v/>
      </c>
      <c r="N278" s="12">
        <f>LN(G278)</f>
        <v/>
      </c>
      <c r="O278" s="12">
        <f>H278*Beta_0+I278*Beta_1+J278*Beta_2+K278*Beta_3+L278*Beta_4+M278*Beta_5</f>
        <v/>
      </c>
      <c r="P278" s="12">
        <f>N278-O278</f>
        <v/>
      </c>
      <c r="Q278" s="13">
        <f>EXP(O278)*Smearing_Factor</f>
        <v/>
      </c>
    </row>
    <row r="279">
      <c r="A279" t="n">
        <v>278</v>
      </c>
      <c r="B279" t="inlineStr">
        <is>
          <t>Social sciences, journalism and information</t>
        </is>
      </c>
      <c r="C279" s="9" t="n">
        <v>2.48</v>
      </c>
      <c r="D279" t="n">
        <v>3</v>
      </c>
      <c r="E279" t="n">
        <v>0</v>
      </c>
      <c r="F279" t="n">
        <v>0</v>
      </c>
      <c r="G279" s="10" t="n">
        <v>1560</v>
      </c>
      <c r="H279" t="n">
        <v>1</v>
      </c>
      <c r="I279" s="11">
        <f>C279-CGPA_Mean</f>
        <v/>
      </c>
      <c r="J279">
        <f>D279</f>
        <v/>
      </c>
      <c r="K279">
        <f>E279</f>
        <v/>
      </c>
      <c r="L279">
        <f>F279</f>
        <v/>
      </c>
      <c r="M279" s="11">
        <f>I279*K279</f>
        <v/>
      </c>
      <c r="N279" s="12">
        <f>LN(G279)</f>
        <v/>
      </c>
      <c r="O279" s="12">
        <f>H279*Beta_0+I279*Beta_1+J279*Beta_2+K279*Beta_3+L279*Beta_4+M279*Beta_5</f>
        <v/>
      </c>
      <c r="P279" s="12">
        <f>N279-O279</f>
        <v/>
      </c>
      <c r="Q279" s="13">
        <f>EXP(O279)*Smearing_Factor</f>
        <v/>
      </c>
    </row>
    <row r="280">
      <c r="A280" t="n">
        <v>279</v>
      </c>
      <c r="B280" t="inlineStr">
        <is>
          <t>Engineering, manufacturing and construction</t>
        </is>
      </c>
      <c r="C280" s="9" t="n">
        <v>2.82</v>
      </c>
      <c r="D280" t="n">
        <v>6</v>
      </c>
      <c r="E280" t="n">
        <v>1</v>
      </c>
      <c r="F280" t="n">
        <v>0</v>
      </c>
      <c r="G280" s="10" t="n">
        <v>1570</v>
      </c>
      <c r="H280" t="n">
        <v>1</v>
      </c>
      <c r="I280" s="11">
        <f>C280-CGPA_Mean</f>
        <v/>
      </c>
      <c r="J280">
        <f>D280</f>
        <v/>
      </c>
      <c r="K280">
        <f>E280</f>
        <v/>
      </c>
      <c r="L280">
        <f>F280</f>
        <v/>
      </c>
      <c r="M280" s="11">
        <f>I280*K280</f>
        <v/>
      </c>
      <c r="N280" s="12">
        <f>LN(G280)</f>
        <v/>
      </c>
      <c r="O280" s="12">
        <f>H280*Beta_0+I280*Beta_1+J280*Beta_2+K280*Beta_3+L280*Beta_4+M280*Beta_5</f>
        <v/>
      </c>
      <c r="P280" s="12">
        <f>N280-O280</f>
        <v/>
      </c>
      <c r="Q280" s="13">
        <f>EXP(O280)*Smearing_Factor</f>
        <v/>
      </c>
    </row>
    <row r="281">
      <c r="A281" t="n">
        <v>280</v>
      </c>
      <c r="B281" t="inlineStr">
        <is>
          <t>Business, administration and law</t>
        </is>
      </c>
      <c r="C281" s="9" t="n">
        <v>3.23</v>
      </c>
      <c r="D281" t="n">
        <v>9</v>
      </c>
      <c r="E281" t="n">
        <v>0</v>
      </c>
      <c r="F281" t="n">
        <v>0</v>
      </c>
      <c r="G281" s="10" t="n">
        <v>3720</v>
      </c>
      <c r="H281" t="n">
        <v>1</v>
      </c>
      <c r="I281" s="11">
        <f>C281-CGPA_Mean</f>
        <v/>
      </c>
      <c r="J281">
        <f>D281</f>
        <v/>
      </c>
      <c r="K281">
        <f>E281</f>
        <v/>
      </c>
      <c r="L281">
        <f>F281</f>
        <v/>
      </c>
      <c r="M281" s="11">
        <f>I281*K281</f>
        <v/>
      </c>
      <c r="N281" s="12">
        <f>LN(G281)</f>
        <v/>
      </c>
      <c r="O281" s="12">
        <f>H281*Beta_0+I281*Beta_1+J281*Beta_2+K281*Beta_3+L281*Beta_4+M281*Beta_5</f>
        <v/>
      </c>
      <c r="P281" s="12">
        <f>N281-O281</f>
        <v/>
      </c>
      <c r="Q281" s="13">
        <f>EXP(O281)*Smearing_Factor</f>
        <v/>
      </c>
    </row>
    <row r="282">
      <c r="A282" t="n">
        <v>281</v>
      </c>
      <c r="B282" t="inlineStr">
        <is>
          <t>Information and communication technologies</t>
        </is>
      </c>
      <c r="C282" s="9" t="n">
        <v>3.46</v>
      </c>
      <c r="D282" t="n">
        <v>6</v>
      </c>
      <c r="E282" t="n">
        <v>1</v>
      </c>
      <c r="F282" t="n">
        <v>0</v>
      </c>
      <c r="G282" s="10" t="n">
        <v>3150</v>
      </c>
      <c r="H282" t="n">
        <v>1</v>
      </c>
      <c r="I282" s="11">
        <f>C282-CGPA_Mean</f>
        <v/>
      </c>
      <c r="J282">
        <f>D282</f>
        <v/>
      </c>
      <c r="K282">
        <f>E282</f>
        <v/>
      </c>
      <c r="L282">
        <f>F282</f>
        <v/>
      </c>
      <c r="M282" s="11">
        <f>I282*K282</f>
        <v/>
      </c>
      <c r="N282" s="12">
        <f>LN(G282)</f>
        <v/>
      </c>
      <c r="O282" s="12">
        <f>H282*Beta_0+I282*Beta_1+J282*Beta_2+K282*Beta_3+L282*Beta_4+M282*Beta_5</f>
        <v/>
      </c>
      <c r="P282" s="12">
        <f>N282-O282</f>
        <v/>
      </c>
      <c r="Q282" s="13">
        <f>EXP(O282)*Smearing_Factor</f>
        <v/>
      </c>
    </row>
    <row r="283">
      <c r="A283" t="n">
        <v>282</v>
      </c>
      <c r="B283" t="inlineStr">
        <is>
          <t>Engineering, manufacturing and construction</t>
        </is>
      </c>
      <c r="C283" s="9" t="n">
        <v>3.86</v>
      </c>
      <c r="D283" t="n">
        <v>6</v>
      </c>
      <c r="E283" t="n">
        <v>1</v>
      </c>
      <c r="F283" t="n">
        <v>0</v>
      </c>
      <c r="G283" s="10" t="n">
        <v>1560</v>
      </c>
      <c r="H283" t="n">
        <v>1</v>
      </c>
      <c r="I283" s="11">
        <f>C283-CGPA_Mean</f>
        <v/>
      </c>
      <c r="J283">
        <f>D283</f>
        <v/>
      </c>
      <c r="K283">
        <f>E283</f>
        <v/>
      </c>
      <c r="L283">
        <f>F283</f>
        <v/>
      </c>
      <c r="M283" s="11">
        <f>I283*K283</f>
        <v/>
      </c>
      <c r="N283" s="12">
        <f>LN(G283)</f>
        <v/>
      </c>
      <c r="O283" s="12">
        <f>H283*Beta_0+I283*Beta_1+J283*Beta_2+K283*Beta_3+L283*Beta_4+M283*Beta_5</f>
        <v/>
      </c>
      <c r="P283" s="12">
        <f>N283-O283</f>
        <v/>
      </c>
      <c r="Q283" s="13">
        <f>EXP(O283)*Smearing_Factor</f>
        <v/>
      </c>
    </row>
    <row r="284">
      <c r="A284" t="n">
        <v>283</v>
      </c>
      <c r="B284" t="inlineStr">
        <is>
          <t>Education</t>
        </is>
      </c>
      <c r="C284" s="9" t="n">
        <v>3.85</v>
      </c>
      <c r="D284" t="n">
        <v>6</v>
      </c>
      <c r="E284" t="n">
        <v>0</v>
      </c>
      <c r="F284" t="n">
        <v>0</v>
      </c>
      <c r="G284" s="10" t="n">
        <v>2440</v>
      </c>
      <c r="H284" t="n">
        <v>1</v>
      </c>
      <c r="I284" s="11">
        <f>C284-CGPA_Mean</f>
        <v/>
      </c>
      <c r="J284">
        <f>D284</f>
        <v/>
      </c>
      <c r="K284">
        <f>E284</f>
        <v/>
      </c>
      <c r="L284">
        <f>F284</f>
        <v/>
      </c>
      <c r="M284" s="11">
        <f>I284*K284</f>
        <v/>
      </c>
      <c r="N284" s="12">
        <f>LN(G284)</f>
        <v/>
      </c>
      <c r="O284" s="12">
        <f>H284*Beta_0+I284*Beta_1+J284*Beta_2+K284*Beta_3+L284*Beta_4+M284*Beta_5</f>
        <v/>
      </c>
      <c r="P284" s="12">
        <f>N284-O284</f>
        <v/>
      </c>
      <c r="Q284" s="13">
        <f>EXP(O284)*Smearing_Factor</f>
        <v/>
      </c>
    </row>
    <row r="285">
      <c r="A285" t="n">
        <v>284</v>
      </c>
      <c r="B285" t="inlineStr">
        <is>
          <t>Services</t>
        </is>
      </c>
      <c r="C285" s="9" t="n">
        <v>3.08</v>
      </c>
      <c r="D285" t="n">
        <v>9</v>
      </c>
      <c r="E285" t="n">
        <v>0</v>
      </c>
      <c r="F285" t="n">
        <v>0</v>
      </c>
      <c r="G285" s="10" t="n">
        <v>2180</v>
      </c>
      <c r="H285" t="n">
        <v>1</v>
      </c>
      <c r="I285" s="11">
        <f>C285-CGPA_Mean</f>
        <v/>
      </c>
      <c r="J285">
        <f>D285</f>
        <v/>
      </c>
      <c r="K285">
        <f>E285</f>
        <v/>
      </c>
      <c r="L285">
        <f>F285</f>
        <v/>
      </c>
      <c r="M285" s="11">
        <f>I285*K285</f>
        <v/>
      </c>
      <c r="N285" s="12">
        <f>LN(G285)</f>
        <v/>
      </c>
      <c r="O285" s="12">
        <f>H285*Beta_0+I285*Beta_1+J285*Beta_2+K285*Beta_3+L285*Beta_4+M285*Beta_5</f>
        <v/>
      </c>
      <c r="P285" s="12">
        <f>N285-O285</f>
        <v/>
      </c>
      <c r="Q285" s="13">
        <f>EXP(O285)*Smearing_Factor</f>
        <v/>
      </c>
    </row>
    <row r="286">
      <c r="A286" t="n">
        <v>285</v>
      </c>
      <c r="B286" t="inlineStr">
        <is>
          <t>Engineering, manufacturing and construction</t>
        </is>
      </c>
      <c r="C286" s="9" t="n">
        <v>2.7</v>
      </c>
      <c r="D286" t="n">
        <v>3</v>
      </c>
      <c r="E286" t="n">
        <v>1</v>
      </c>
      <c r="F286" t="n">
        <v>1</v>
      </c>
      <c r="G286" s="10" t="n">
        <v>2950</v>
      </c>
      <c r="H286" t="n">
        <v>1</v>
      </c>
      <c r="I286" s="11">
        <f>C286-CGPA_Mean</f>
        <v/>
      </c>
      <c r="J286">
        <f>D286</f>
        <v/>
      </c>
      <c r="K286">
        <f>E286</f>
        <v/>
      </c>
      <c r="L286">
        <f>F286</f>
        <v/>
      </c>
      <c r="M286" s="11">
        <f>I286*K286</f>
        <v/>
      </c>
      <c r="N286" s="12">
        <f>LN(G286)</f>
        <v/>
      </c>
      <c r="O286" s="12">
        <f>H286*Beta_0+I286*Beta_1+J286*Beta_2+K286*Beta_3+L286*Beta_4+M286*Beta_5</f>
        <v/>
      </c>
      <c r="P286" s="12">
        <f>N286-O286</f>
        <v/>
      </c>
      <c r="Q286" s="13">
        <f>EXP(O286)*Smearing_Factor</f>
        <v/>
      </c>
    </row>
    <row r="287">
      <c r="A287" t="n">
        <v>286</v>
      </c>
      <c r="B287" t="inlineStr">
        <is>
          <t>Engineering, manufacturing and construction</t>
        </is>
      </c>
      <c r="C287" s="9" t="n">
        <v>2.83</v>
      </c>
      <c r="D287" t="n">
        <v>3</v>
      </c>
      <c r="E287" t="n">
        <v>1</v>
      </c>
      <c r="F287" t="n">
        <v>0</v>
      </c>
      <c r="G287" s="10" t="n">
        <v>2000</v>
      </c>
      <c r="H287" t="n">
        <v>1</v>
      </c>
      <c r="I287" s="11">
        <f>C287-CGPA_Mean</f>
        <v/>
      </c>
      <c r="J287">
        <f>D287</f>
        <v/>
      </c>
      <c r="K287">
        <f>E287</f>
        <v/>
      </c>
      <c r="L287">
        <f>F287</f>
        <v/>
      </c>
      <c r="M287" s="11">
        <f>I287*K287</f>
        <v/>
      </c>
      <c r="N287" s="12">
        <f>LN(G287)</f>
        <v/>
      </c>
      <c r="O287" s="12">
        <f>H287*Beta_0+I287*Beta_1+J287*Beta_2+K287*Beta_3+L287*Beta_4+M287*Beta_5</f>
        <v/>
      </c>
      <c r="P287" s="12">
        <f>N287-O287</f>
        <v/>
      </c>
      <c r="Q287" s="13">
        <f>EXP(O287)*Smearing_Factor</f>
        <v/>
      </c>
    </row>
    <row r="288">
      <c r="A288" t="n">
        <v>287</v>
      </c>
      <c r="B288" t="inlineStr">
        <is>
          <t>Health and welfare</t>
        </is>
      </c>
      <c r="C288" s="9" t="n">
        <v>3.15</v>
      </c>
      <c r="D288" t="n">
        <v>3</v>
      </c>
      <c r="E288" t="n">
        <v>0</v>
      </c>
      <c r="F288" t="n">
        <v>0</v>
      </c>
      <c r="G288" s="10" t="n">
        <v>2970</v>
      </c>
      <c r="H288" t="n">
        <v>1</v>
      </c>
      <c r="I288" s="11">
        <f>C288-CGPA_Mean</f>
        <v/>
      </c>
      <c r="J288">
        <f>D288</f>
        <v/>
      </c>
      <c r="K288">
        <f>E288</f>
        <v/>
      </c>
      <c r="L288">
        <f>F288</f>
        <v/>
      </c>
      <c r="M288" s="11">
        <f>I288*K288</f>
        <v/>
      </c>
      <c r="N288" s="12">
        <f>LN(G288)</f>
        <v/>
      </c>
      <c r="O288" s="12">
        <f>H288*Beta_0+I288*Beta_1+J288*Beta_2+K288*Beta_3+L288*Beta_4+M288*Beta_5</f>
        <v/>
      </c>
      <c r="P288" s="12">
        <f>N288-O288</f>
        <v/>
      </c>
      <c r="Q288" s="13">
        <f>EXP(O288)*Smearing_Factor</f>
        <v/>
      </c>
    </row>
    <row r="289">
      <c r="A289" t="n">
        <v>288</v>
      </c>
      <c r="B289" t="inlineStr">
        <is>
          <t>Business, administration and law</t>
        </is>
      </c>
      <c r="C289" s="9" t="n">
        <v>3.64</v>
      </c>
      <c r="D289" t="n">
        <v>6</v>
      </c>
      <c r="E289" t="n">
        <v>0</v>
      </c>
      <c r="F289" t="n">
        <v>1</v>
      </c>
      <c r="G289" s="10" t="n">
        <v>1950</v>
      </c>
      <c r="H289" t="n">
        <v>1</v>
      </c>
      <c r="I289" s="11">
        <f>C289-CGPA_Mean</f>
        <v/>
      </c>
      <c r="J289">
        <f>D289</f>
        <v/>
      </c>
      <c r="K289">
        <f>E289</f>
        <v/>
      </c>
      <c r="L289">
        <f>F289</f>
        <v/>
      </c>
      <c r="M289" s="11">
        <f>I289*K289</f>
        <v/>
      </c>
      <c r="N289" s="12">
        <f>LN(G289)</f>
        <v/>
      </c>
      <c r="O289" s="12">
        <f>H289*Beta_0+I289*Beta_1+J289*Beta_2+K289*Beta_3+L289*Beta_4+M289*Beta_5</f>
        <v/>
      </c>
      <c r="P289" s="12">
        <f>N289-O289</f>
        <v/>
      </c>
      <c r="Q289" s="13">
        <f>EXP(O289)*Smearing_Factor</f>
        <v/>
      </c>
    </row>
    <row r="290">
      <c r="A290" t="n">
        <v>289</v>
      </c>
      <c r="B290" t="inlineStr">
        <is>
          <t>Information and communication technologies</t>
        </is>
      </c>
      <c r="C290" s="9" t="n">
        <v>2.63</v>
      </c>
      <c r="D290" t="n">
        <v>6</v>
      </c>
      <c r="E290" t="n">
        <v>1</v>
      </c>
      <c r="F290" t="n">
        <v>1</v>
      </c>
      <c r="G290" s="10" t="n">
        <v>3170</v>
      </c>
      <c r="H290" t="n">
        <v>1</v>
      </c>
      <c r="I290" s="11">
        <f>C290-CGPA_Mean</f>
        <v/>
      </c>
      <c r="J290">
        <f>D290</f>
        <v/>
      </c>
      <c r="K290">
        <f>E290</f>
        <v/>
      </c>
      <c r="L290">
        <f>F290</f>
        <v/>
      </c>
      <c r="M290" s="11">
        <f>I290*K290</f>
        <v/>
      </c>
      <c r="N290" s="12">
        <f>LN(G290)</f>
        <v/>
      </c>
      <c r="O290" s="12">
        <f>H290*Beta_0+I290*Beta_1+J290*Beta_2+K290*Beta_3+L290*Beta_4+M290*Beta_5</f>
        <v/>
      </c>
      <c r="P290" s="12">
        <f>N290-O290</f>
        <v/>
      </c>
      <c r="Q290" s="13">
        <f>EXP(O290)*Smearing_Factor</f>
        <v/>
      </c>
    </row>
    <row r="291">
      <c r="A291" t="n">
        <v>290</v>
      </c>
      <c r="B291" t="inlineStr">
        <is>
          <t>Information and communication technologies</t>
        </is>
      </c>
      <c r="C291" s="9" t="n">
        <v>3.41</v>
      </c>
      <c r="D291" t="n">
        <v>6</v>
      </c>
      <c r="E291" t="n">
        <v>1</v>
      </c>
      <c r="F291" t="n">
        <v>0</v>
      </c>
      <c r="G291" s="10" t="n">
        <v>2690</v>
      </c>
      <c r="H291" t="n">
        <v>1</v>
      </c>
      <c r="I291" s="11">
        <f>C291-CGPA_Mean</f>
        <v/>
      </c>
      <c r="J291">
        <f>D291</f>
        <v/>
      </c>
      <c r="K291">
        <f>E291</f>
        <v/>
      </c>
      <c r="L291">
        <f>F291</f>
        <v/>
      </c>
      <c r="M291" s="11">
        <f>I291*K291</f>
        <v/>
      </c>
      <c r="N291" s="12">
        <f>LN(G291)</f>
        <v/>
      </c>
      <c r="O291" s="12">
        <f>H291*Beta_0+I291*Beta_1+J291*Beta_2+K291*Beta_3+L291*Beta_4+M291*Beta_5</f>
        <v/>
      </c>
      <c r="P291" s="12">
        <f>N291-O291</f>
        <v/>
      </c>
      <c r="Q291" s="13">
        <f>EXP(O291)*Smearing_Factor</f>
        <v/>
      </c>
    </row>
    <row r="292">
      <c r="A292" t="n">
        <v>291</v>
      </c>
      <c r="B292" t="inlineStr">
        <is>
          <t>Business, administration and law</t>
        </is>
      </c>
      <c r="C292" s="9" t="n">
        <v>3.83</v>
      </c>
      <c r="D292" t="n">
        <v>6</v>
      </c>
      <c r="E292" t="n">
        <v>0</v>
      </c>
      <c r="F292" t="n">
        <v>0</v>
      </c>
      <c r="G292" s="10" t="n">
        <v>1980</v>
      </c>
      <c r="H292" t="n">
        <v>1</v>
      </c>
      <c r="I292" s="11">
        <f>C292-CGPA_Mean</f>
        <v/>
      </c>
      <c r="J292">
        <f>D292</f>
        <v/>
      </c>
      <c r="K292">
        <f>E292</f>
        <v/>
      </c>
      <c r="L292">
        <f>F292</f>
        <v/>
      </c>
      <c r="M292" s="11">
        <f>I292*K292</f>
        <v/>
      </c>
      <c r="N292" s="12">
        <f>LN(G292)</f>
        <v/>
      </c>
      <c r="O292" s="12">
        <f>H292*Beta_0+I292*Beta_1+J292*Beta_2+K292*Beta_3+L292*Beta_4+M292*Beta_5</f>
        <v/>
      </c>
      <c r="P292" s="12">
        <f>N292-O292</f>
        <v/>
      </c>
      <c r="Q292" s="13">
        <f>EXP(O292)*Smearing_Factor</f>
        <v/>
      </c>
    </row>
    <row r="293">
      <c r="A293" t="n">
        <v>292</v>
      </c>
      <c r="B293" t="inlineStr">
        <is>
          <t>Engineering, manufacturing and construction</t>
        </is>
      </c>
      <c r="C293" s="9" t="n">
        <v>2.97</v>
      </c>
      <c r="D293" t="n">
        <v>6</v>
      </c>
      <c r="E293" t="n">
        <v>1</v>
      </c>
      <c r="F293" t="n">
        <v>0</v>
      </c>
      <c r="G293" s="10" t="n">
        <v>3760</v>
      </c>
      <c r="H293" t="n">
        <v>1</v>
      </c>
      <c r="I293" s="11">
        <f>C293-CGPA_Mean</f>
        <v/>
      </c>
      <c r="J293">
        <f>D293</f>
        <v/>
      </c>
      <c r="K293">
        <f>E293</f>
        <v/>
      </c>
      <c r="L293">
        <f>F293</f>
        <v/>
      </c>
      <c r="M293" s="11">
        <f>I293*K293</f>
        <v/>
      </c>
      <c r="N293" s="12">
        <f>LN(G293)</f>
        <v/>
      </c>
      <c r="O293" s="12">
        <f>H293*Beta_0+I293*Beta_1+J293*Beta_2+K293*Beta_3+L293*Beta_4+M293*Beta_5</f>
        <v/>
      </c>
      <c r="P293" s="12">
        <f>N293-O293</f>
        <v/>
      </c>
      <c r="Q293" s="13">
        <f>EXP(O293)*Smearing_Factor</f>
        <v/>
      </c>
    </row>
    <row r="294">
      <c r="A294" t="n">
        <v>293</v>
      </c>
      <c r="B294" t="inlineStr">
        <is>
          <t>Health and welfare</t>
        </is>
      </c>
      <c r="C294" s="9" t="n">
        <v>3.3</v>
      </c>
      <c r="D294" t="n">
        <v>6</v>
      </c>
      <c r="E294" t="n">
        <v>0</v>
      </c>
      <c r="F294" t="n">
        <v>0</v>
      </c>
      <c r="G294" s="10" t="n">
        <v>12420</v>
      </c>
      <c r="H294" t="n">
        <v>1</v>
      </c>
      <c r="I294" s="11">
        <f>C294-CGPA_Mean</f>
        <v/>
      </c>
      <c r="J294">
        <f>D294</f>
        <v/>
      </c>
      <c r="K294">
        <f>E294</f>
        <v/>
      </c>
      <c r="L294">
        <f>F294</f>
        <v/>
      </c>
      <c r="M294" s="11">
        <f>I294*K294</f>
        <v/>
      </c>
      <c r="N294" s="12">
        <f>LN(G294)</f>
        <v/>
      </c>
      <c r="O294" s="12">
        <f>H294*Beta_0+I294*Beta_1+J294*Beta_2+K294*Beta_3+L294*Beta_4+M294*Beta_5</f>
        <v/>
      </c>
      <c r="P294" s="12">
        <f>N294-O294</f>
        <v/>
      </c>
      <c r="Q294" s="13">
        <f>EXP(O294)*Smearing_Factor</f>
        <v/>
      </c>
    </row>
    <row r="295">
      <c r="A295" t="n">
        <v>294</v>
      </c>
      <c r="B295" t="inlineStr">
        <is>
          <t>Engineering, manufacturing and construction</t>
        </is>
      </c>
      <c r="C295" s="9" t="n">
        <v>3.87</v>
      </c>
      <c r="D295" t="n">
        <v>3</v>
      </c>
      <c r="E295" t="n">
        <v>1</v>
      </c>
      <c r="F295" t="n">
        <v>0</v>
      </c>
      <c r="G295" s="10" t="n">
        <v>4770</v>
      </c>
      <c r="H295" t="n">
        <v>1</v>
      </c>
      <c r="I295" s="11">
        <f>C295-CGPA_Mean</f>
        <v/>
      </c>
      <c r="J295">
        <f>D295</f>
        <v/>
      </c>
      <c r="K295">
        <f>E295</f>
        <v/>
      </c>
      <c r="L295">
        <f>F295</f>
        <v/>
      </c>
      <c r="M295" s="11">
        <f>I295*K295</f>
        <v/>
      </c>
      <c r="N295" s="12">
        <f>LN(G295)</f>
        <v/>
      </c>
      <c r="O295" s="12">
        <f>H295*Beta_0+I295*Beta_1+J295*Beta_2+K295*Beta_3+L295*Beta_4+M295*Beta_5</f>
        <v/>
      </c>
      <c r="P295" s="12">
        <f>N295-O295</f>
        <v/>
      </c>
      <c r="Q295" s="13">
        <f>EXP(O295)*Smearing_Factor</f>
        <v/>
      </c>
    </row>
    <row r="296">
      <c r="A296" t="n">
        <v>295</v>
      </c>
      <c r="B296" t="inlineStr">
        <is>
          <t>Engineering, manufacturing and construction</t>
        </is>
      </c>
      <c r="C296" s="9" t="n">
        <v>2.73</v>
      </c>
      <c r="D296" t="n">
        <v>9</v>
      </c>
      <c r="E296" t="n">
        <v>1</v>
      </c>
      <c r="F296" t="n">
        <v>1</v>
      </c>
      <c r="G296" s="10" t="n">
        <v>3200</v>
      </c>
      <c r="H296" t="n">
        <v>1</v>
      </c>
      <c r="I296" s="11">
        <f>C296-CGPA_Mean</f>
        <v/>
      </c>
      <c r="J296">
        <f>D296</f>
        <v/>
      </c>
      <c r="K296">
        <f>E296</f>
        <v/>
      </c>
      <c r="L296">
        <f>F296</f>
        <v/>
      </c>
      <c r="M296" s="11">
        <f>I296*K296</f>
        <v/>
      </c>
      <c r="N296" s="12">
        <f>LN(G296)</f>
        <v/>
      </c>
      <c r="O296" s="12">
        <f>H296*Beta_0+I296*Beta_1+J296*Beta_2+K296*Beta_3+L296*Beta_4+M296*Beta_5</f>
        <v/>
      </c>
      <c r="P296" s="12">
        <f>N296-O296</f>
        <v/>
      </c>
      <c r="Q296" s="13">
        <f>EXP(O296)*Smearing_Factor</f>
        <v/>
      </c>
    </row>
    <row r="297">
      <c r="A297" t="n">
        <v>296</v>
      </c>
      <c r="B297" t="inlineStr">
        <is>
          <t>Business, administration and law</t>
        </is>
      </c>
      <c r="C297" s="9" t="n">
        <v>3.49</v>
      </c>
      <c r="D297" t="n">
        <v>6</v>
      </c>
      <c r="E297" t="n">
        <v>0</v>
      </c>
      <c r="F297" t="n">
        <v>0</v>
      </c>
      <c r="G297" s="10" t="n">
        <v>930</v>
      </c>
      <c r="H297" t="n">
        <v>1</v>
      </c>
      <c r="I297" s="11">
        <f>C297-CGPA_Mean</f>
        <v/>
      </c>
      <c r="J297">
        <f>D297</f>
        <v/>
      </c>
      <c r="K297">
        <f>E297</f>
        <v/>
      </c>
      <c r="L297">
        <f>F297</f>
        <v/>
      </c>
      <c r="M297" s="11">
        <f>I297*K297</f>
        <v/>
      </c>
      <c r="N297" s="12">
        <f>LN(G297)</f>
        <v/>
      </c>
      <c r="O297" s="12">
        <f>H297*Beta_0+I297*Beta_1+J297*Beta_2+K297*Beta_3+L297*Beta_4+M297*Beta_5</f>
        <v/>
      </c>
      <c r="P297" s="12">
        <f>N297-O297</f>
        <v/>
      </c>
      <c r="Q297" s="13">
        <f>EXP(O297)*Smearing_Factor</f>
        <v/>
      </c>
    </row>
    <row r="298">
      <c r="A298" t="n">
        <v>297</v>
      </c>
      <c r="B298" t="inlineStr">
        <is>
          <t>Natural sciences, mathematics and statistics</t>
        </is>
      </c>
      <c r="C298" s="9" t="n">
        <v>2.84</v>
      </c>
      <c r="D298" t="n">
        <v>9</v>
      </c>
      <c r="E298" t="n">
        <v>1</v>
      </c>
      <c r="F298" t="n">
        <v>1</v>
      </c>
      <c r="G298" s="10" t="n">
        <v>1980</v>
      </c>
      <c r="H298" t="n">
        <v>1</v>
      </c>
      <c r="I298" s="11">
        <f>C298-CGPA_Mean</f>
        <v/>
      </c>
      <c r="J298">
        <f>D298</f>
        <v/>
      </c>
      <c r="K298">
        <f>E298</f>
        <v/>
      </c>
      <c r="L298">
        <f>F298</f>
        <v/>
      </c>
      <c r="M298" s="11">
        <f>I298*K298</f>
        <v/>
      </c>
      <c r="N298" s="12">
        <f>LN(G298)</f>
        <v/>
      </c>
      <c r="O298" s="12">
        <f>H298*Beta_0+I298*Beta_1+J298*Beta_2+K298*Beta_3+L298*Beta_4+M298*Beta_5</f>
        <v/>
      </c>
      <c r="P298" s="12">
        <f>N298-O298</f>
        <v/>
      </c>
      <c r="Q298" s="13">
        <f>EXP(O298)*Smearing_Factor</f>
        <v/>
      </c>
    </row>
    <row r="299">
      <c r="A299" t="n">
        <v>298</v>
      </c>
      <c r="B299" t="inlineStr">
        <is>
          <t>Engineering, manufacturing and construction</t>
        </is>
      </c>
      <c r="C299" s="9" t="n">
        <v>2.92</v>
      </c>
      <c r="D299" t="n">
        <v>9</v>
      </c>
      <c r="E299" t="n">
        <v>1</v>
      </c>
      <c r="F299" t="n">
        <v>0</v>
      </c>
      <c r="G299" s="10" t="n">
        <v>2320</v>
      </c>
      <c r="H299" t="n">
        <v>1</v>
      </c>
      <c r="I299" s="11">
        <f>C299-CGPA_Mean</f>
        <v/>
      </c>
      <c r="J299">
        <f>D299</f>
        <v/>
      </c>
      <c r="K299">
        <f>E299</f>
        <v/>
      </c>
      <c r="L299">
        <f>F299</f>
        <v/>
      </c>
      <c r="M299" s="11">
        <f>I299*K299</f>
        <v/>
      </c>
      <c r="N299" s="12">
        <f>LN(G299)</f>
        <v/>
      </c>
      <c r="O299" s="12">
        <f>H299*Beta_0+I299*Beta_1+J299*Beta_2+K299*Beta_3+L299*Beta_4+M299*Beta_5</f>
        <v/>
      </c>
      <c r="P299" s="12">
        <f>N299-O299</f>
        <v/>
      </c>
      <c r="Q299" s="13">
        <f>EXP(O299)*Smearing_Factor</f>
        <v/>
      </c>
    </row>
    <row r="300">
      <c r="A300" t="n">
        <v>299</v>
      </c>
      <c r="B300" t="inlineStr">
        <is>
          <t>Business, administration and law</t>
        </is>
      </c>
      <c r="C300" s="9" t="n">
        <v>3.22</v>
      </c>
      <c r="D300" t="n">
        <v>6</v>
      </c>
      <c r="E300" t="n">
        <v>0</v>
      </c>
      <c r="F300" t="n">
        <v>0</v>
      </c>
      <c r="G300" s="10" t="n">
        <v>1790</v>
      </c>
      <c r="H300" t="n">
        <v>1</v>
      </c>
      <c r="I300" s="11">
        <f>C300-CGPA_Mean</f>
        <v/>
      </c>
      <c r="J300">
        <f>D300</f>
        <v/>
      </c>
      <c r="K300">
        <f>E300</f>
        <v/>
      </c>
      <c r="L300">
        <f>F300</f>
        <v/>
      </c>
      <c r="M300" s="11">
        <f>I300*K300</f>
        <v/>
      </c>
      <c r="N300" s="12">
        <f>LN(G300)</f>
        <v/>
      </c>
      <c r="O300" s="12">
        <f>H300*Beta_0+I300*Beta_1+J300*Beta_2+K300*Beta_3+L300*Beta_4+M300*Beta_5</f>
        <v/>
      </c>
      <c r="P300" s="12">
        <f>N300-O300</f>
        <v/>
      </c>
      <c r="Q300" s="13">
        <f>EXP(O300)*Smearing_Factor</f>
        <v/>
      </c>
    </row>
    <row r="301">
      <c r="A301" t="n">
        <v>300</v>
      </c>
      <c r="B301" t="inlineStr">
        <is>
          <t>Business, administration and law</t>
        </is>
      </c>
      <c r="C301" s="9" t="n">
        <v>3.38</v>
      </c>
      <c r="D301" t="n">
        <v>6</v>
      </c>
      <c r="E301" t="n">
        <v>0</v>
      </c>
      <c r="F301" t="n">
        <v>1</v>
      </c>
      <c r="G301" s="10" t="n">
        <v>3330</v>
      </c>
      <c r="H301" t="n">
        <v>1</v>
      </c>
      <c r="I301" s="11">
        <f>C301-CGPA_Mean</f>
        <v/>
      </c>
      <c r="J301">
        <f>D301</f>
        <v/>
      </c>
      <c r="K301">
        <f>E301</f>
        <v/>
      </c>
      <c r="L301">
        <f>F301</f>
        <v/>
      </c>
      <c r="M301" s="11">
        <f>I301*K301</f>
        <v/>
      </c>
      <c r="N301" s="12">
        <f>LN(G301)</f>
        <v/>
      </c>
      <c r="O301" s="12">
        <f>H301*Beta_0+I301*Beta_1+J301*Beta_2+K301*Beta_3+L301*Beta_4+M301*Beta_5</f>
        <v/>
      </c>
      <c r="P301" s="12">
        <f>N301-O301</f>
        <v/>
      </c>
      <c r="Q301" s="13">
        <f>EXP(O301)*Smearing_Factor</f>
        <v/>
      </c>
    </row>
    <row r="302">
      <c r="A302" t="n">
        <v>301</v>
      </c>
      <c r="B302" t="inlineStr">
        <is>
          <t>Engineering, manufacturing and construction</t>
        </is>
      </c>
      <c r="C302" s="9" t="n">
        <v>3.27</v>
      </c>
      <c r="D302" t="n">
        <v>6</v>
      </c>
      <c r="E302" t="n">
        <v>1</v>
      </c>
      <c r="F302" t="n">
        <v>0</v>
      </c>
      <c r="G302" s="10" t="n">
        <v>1080</v>
      </c>
      <c r="H302" t="n">
        <v>1</v>
      </c>
      <c r="I302" s="11">
        <f>C302-CGPA_Mean</f>
        <v/>
      </c>
      <c r="J302">
        <f>D302</f>
        <v/>
      </c>
      <c r="K302">
        <f>E302</f>
        <v/>
      </c>
      <c r="L302">
        <f>F302</f>
        <v/>
      </c>
      <c r="M302" s="11">
        <f>I302*K302</f>
        <v/>
      </c>
      <c r="N302" s="12">
        <f>LN(G302)</f>
        <v/>
      </c>
      <c r="O302" s="12">
        <f>H302*Beta_0+I302*Beta_1+J302*Beta_2+K302*Beta_3+L302*Beta_4+M302*Beta_5</f>
        <v/>
      </c>
      <c r="P302" s="12">
        <f>N302-O302</f>
        <v/>
      </c>
      <c r="Q302" s="13">
        <f>EXP(O302)*Smearing_Factor</f>
        <v/>
      </c>
    </row>
    <row r="303">
      <c r="A303" t="n">
        <v>302</v>
      </c>
      <c r="B303" t="inlineStr">
        <is>
          <t>Social sciences, journalism and information</t>
        </is>
      </c>
      <c r="C303" s="9" t="n">
        <v>3.46</v>
      </c>
      <c r="D303" t="n">
        <v>3</v>
      </c>
      <c r="E303" t="n">
        <v>0</v>
      </c>
      <c r="F303" t="n">
        <v>1</v>
      </c>
      <c r="G303" s="10" t="n">
        <v>2590</v>
      </c>
      <c r="H303" t="n">
        <v>1</v>
      </c>
      <c r="I303" s="11">
        <f>C303-CGPA_Mean</f>
        <v/>
      </c>
      <c r="J303">
        <f>D303</f>
        <v/>
      </c>
      <c r="K303">
        <f>E303</f>
        <v/>
      </c>
      <c r="L303">
        <f>F303</f>
        <v/>
      </c>
      <c r="M303" s="11">
        <f>I303*K303</f>
        <v/>
      </c>
      <c r="N303" s="12">
        <f>LN(G303)</f>
        <v/>
      </c>
      <c r="O303" s="12">
        <f>H303*Beta_0+I303*Beta_1+J303*Beta_2+K303*Beta_3+L303*Beta_4+M303*Beta_5</f>
        <v/>
      </c>
      <c r="P303" s="12">
        <f>N303-O303</f>
        <v/>
      </c>
      <c r="Q303" s="13">
        <f>EXP(O303)*Smearing_Factor</f>
        <v/>
      </c>
    </row>
    <row r="304">
      <c r="A304" t="n">
        <v>303</v>
      </c>
      <c r="B304" t="inlineStr">
        <is>
          <t>Social sciences, journalism and information</t>
        </is>
      </c>
      <c r="C304" s="9" t="n">
        <v>3.4</v>
      </c>
      <c r="D304" t="n">
        <v>6</v>
      </c>
      <c r="E304" t="n">
        <v>0</v>
      </c>
      <c r="F304" t="n">
        <v>1</v>
      </c>
      <c r="G304" s="10" t="n">
        <v>3980</v>
      </c>
      <c r="H304" t="n">
        <v>1</v>
      </c>
      <c r="I304" s="11">
        <f>C304-CGPA_Mean</f>
        <v/>
      </c>
      <c r="J304">
        <f>D304</f>
        <v/>
      </c>
      <c r="K304">
        <f>E304</f>
        <v/>
      </c>
      <c r="L304">
        <f>F304</f>
        <v/>
      </c>
      <c r="M304" s="11">
        <f>I304*K304</f>
        <v/>
      </c>
      <c r="N304" s="12">
        <f>LN(G304)</f>
        <v/>
      </c>
      <c r="O304" s="12">
        <f>H304*Beta_0+I304*Beta_1+J304*Beta_2+K304*Beta_3+L304*Beta_4+M304*Beta_5</f>
        <v/>
      </c>
      <c r="P304" s="12">
        <f>N304-O304</f>
        <v/>
      </c>
      <c r="Q304" s="13">
        <f>EXP(O304)*Smearing_Factor</f>
        <v/>
      </c>
    </row>
    <row r="305">
      <c r="A305" t="n">
        <v>304</v>
      </c>
      <c r="B305" t="inlineStr">
        <is>
          <t>Business, administration and law</t>
        </is>
      </c>
      <c r="C305" s="9" t="n">
        <v>2.88</v>
      </c>
      <c r="D305" t="n">
        <v>6</v>
      </c>
      <c r="E305" t="n">
        <v>0</v>
      </c>
      <c r="F305" t="n">
        <v>0</v>
      </c>
      <c r="G305" s="10" t="n">
        <v>1020</v>
      </c>
      <c r="H305" t="n">
        <v>1</v>
      </c>
      <c r="I305" s="11">
        <f>C305-CGPA_Mean</f>
        <v/>
      </c>
      <c r="J305">
        <f>D305</f>
        <v/>
      </c>
      <c r="K305">
        <f>E305</f>
        <v/>
      </c>
      <c r="L305">
        <f>F305</f>
        <v/>
      </c>
      <c r="M305" s="11">
        <f>I305*K305</f>
        <v/>
      </c>
      <c r="N305" s="12">
        <f>LN(G305)</f>
        <v/>
      </c>
      <c r="O305" s="12">
        <f>H305*Beta_0+I305*Beta_1+J305*Beta_2+K305*Beta_3+L305*Beta_4+M305*Beta_5</f>
        <v/>
      </c>
      <c r="P305" s="12">
        <f>N305-O305</f>
        <v/>
      </c>
      <c r="Q305" s="13">
        <f>EXP(O305)*Smearing_Factor</f>
        <v/>
      </c>
    </row>
    <row r="306">
      <c r="A306" t="n">
        <v>305</v>
      </c>
      <c r="B306" t="inlineStr">
        <is>
          <t>Engineering, manufacturing and construction</t>
        </is>
      </c>
      <c r="C306" s="9" t="n">
        <v>2.59</v>
      </c>
      <c r="D306" t="n">
        <v>6</v>
      </c>
      <c r="E306" t="n">
        <v>1</v>
      </c>
      <c r="F306" t="n">
        <v>1</v>
      </c>
      <c r="G306" s="10" t="n">
        <v>3560</v>
      </c>
      <c r="H306" t="n">
        <v>1</v>
      </c>
      <c r="I306" s="11">
        <f>C306-CGPA_Mean</f>
        <v/>
      </c>
      <c r="J306">
        <f>D306</f>
        <v/>
      </c>
      <c r="K306">
        <f>E306</f>
        <v/>
      </c>
      <c r="L306">
        <f>F306</f>
        <v/>
      </c>
      <c r="M306" s="11">
        <f>I306*K306</f>
        <v/>
      </c>
      <c r="N306" s="12">
        <f>LN(G306)</f>
        <v/>
      </c>
      <c r="O306" s="12">
        <f>H306*Beta_0+I306*Beta_1+J306*Beta_2+K306*Beta_3+L306*Beta_4+M306*Beta_5</f>
        <v/>
      </c>
      <c r="P306" s="12">
        <f>N306-O306</f>
        <v/>
      </c>
      <c r="Q306" s="13">
        <f>EXP(O306)*Smearing_Factor</f>
        <v/>
      </c>
    </row>
    <row r="307">
      <c r="A307" t="n">
        <v>306</v>
      </c>
      <c r="B307" t="inlineStr">
        <is>
          <t>Services</t>
        </is>
      </c>
      <c r="C307" s="9" t="n">
        <v>3.28</v>
      </c>
      <c r="D307" t="n">
        <v>3</v>
      </c>
      <c r="E307" t="n">
        <v>0</v>
      </c>
      <c r="F307" t="n">
        <v>0</v>
      </c>
      <c r="G307" s="10" t="n">
        <v>1980</v>
      </c>
      <c r="H307" t="n">
        <v>1</v>
      </c>
      <c r="I307" s="11">
        <f>C307-CGPA_Mean</f>
        <v/>
      </c>
      <c r="J307">
        <f>D307</f>
        <v/>
      </c>
      <c r="K307">
        <f>E307</f>
        <v/>
      </c>
      <c r="L307">
        <f>F307</f>
        <v/>
      </c>
      <c r="M307" s="11">
        <f>I307*K307</f>
        <v/>
      </c>
      <c r="N307" s="12">
        <f>LN(G307)</f>
        <v/>
      </c>
      <c r="O307" s="12">
        <f>H307*Beta_0+I307*Beta_1+J307*Beta_2+K307*Beta_3+L307*Beta_4+M307*Beta_5</f>
        <v/>
      </c>
      <c r="P307" s="12">
        <f>N307-O307</f>
        <v/>
      </c>
      <c r="Q307" s="13">
        <f>EXP(O307)*Smearing_Factor</f>
        <v/>
      </c>
    </row>
    <row r="308">
      <c r="A308" t="n">
        <v>307</v>
      </c>
      <c r="B308" t="inlineStr">
        <is>
          <t>Business, administration and law</t>
        </is>
      </c>
      <c r="C308" s="9" t="n">
        <v>3.24</v>
      </c>
      <c r="D308" t="n">
        <v>3</v>
      </c>
      <c r="E308" t="n">
        <v>0</v>
      </c>
      <c r="F308" t="n">
        <v>0</v>
      </c>
      <c r="G308" s="10" t="n">
        <v>2340</v>
      </c>
      <c r="H308" t="n">
        <v>1</v>
      </c>
      <c r="I308" s="11">
        <f>C308-CGPA_Mean</f>
        <v/>
      </c>
      <c r="J308">
        <f>D308</f>
        <v/>
      </c>
      <c r="K308">
        <f>E308</f>
        <v/>
      </c>
      <c r="L308">
        <f>F308</f>
        <v/>
      </c>
      <c r="M308" s="11">
        <f>I308*K308</f>
        <v/>
      </c>
      <c r="N308" s="12">
        <f>LN(G308)</f>
        <v/>
      </c>
      <c r="O308" s="12">
        <f>H308*Beta_0+I308*Beta_1+J308*Beta_2+K308*Beta_3+L308*Beta_4+M308*Beta_5</f>
        <v/>
      </c>
      <c r="P308" s="12">
        <f>N308-O308</f>
        <v/>
      </c>
      <c r="Q308" s="13">
        <f>EXP(O308)*Smearing_Factor</f>
        <v/>
      </c>
    </row>
    <row r="309">
      <c r="A309" t="n">
        <v>308</v>
      </c>
      <c r="B309" t="inlineStr">
        <is>
          <t>Business, administration and law</t>
        </is>
      </c>
      <c r="C309" s="9" t="n">
        <v>3.47</v>
      </c>
      <c r="D309" t="n">
        <v>6</v>
      </c>
      <c r="E309" t="n">
        <v>0</v>
      </c>
      <c r="F309" t="n">
        <v>1</v>
      </c>
      <c r="G309" s="10" t="n">
        <v>3910</v>
      </c>
      <c r="H309" t="n">
        <v>1</v>
      </c>
      <c r="I309" s="11">
        <f>C309-CGPA_Mean</f>
        <v/>
      </c>
      <c r="J309">
        <f>D309</f>
        <v/>
      </c>
      <c r="K309">
        <f>E309</f>
        <v/>
      </c>
      <c r="L309">
        <f>F309</f>
        <v/>
      </c>
      <c r="M309" s="11">
        <f>I309*K309</f>
        <v/>
      </c>
      <c r="N309" s="12">
        <f>LN(G309)</f>
        <v/>
      </c>
      <c r="O309" s="12">
        <f>H309*Beta_0+I309*Beta_1+J309*Beta_2+K309*Beta_3+L309*Beta_4+M309*Beta_5</f>
        <v/>
      </c>
      <c r="P309" s="12">
        <f>N309-O309</f>
        <v/>
      </c>
      <c r="Q309" s="13">
        <f>EXP(O309)*Smearing_Factor</f>
        <v/>
      </c>
    </row>
    <row r="310">
      <c r="A310" t="n">
        <v>309</v>
      </c>
      <c r="B310" t="inlineStr">
        <is>
          <t>Business, administration and law</t>
        </is>
      </c>
      <c r="C310" s="9" t="n">
        <v>3.02</v>
      </c>
      <c r="D310" t="n">
        <v>6</v>
      </c>
      <c r="E310" t="n">
        <v>0</v>
      </c>
      <c r="F310" t="n">
        <v>0</v>
      </c>
      <c r="G310" s="10" t="n">
        <v>1420</v>
      </c>
      <c r="H310" t="n">
        <v>1</v>
      </c>
      <c r="I310" s="11">
        <f>C310-CGPA_Mean</f>
        <v/>
      </c>
      <c r="J310">
        <f>D310</f>
        <v/>
      </c>
      <c r="K310">
        <f>E310</f>
        <v/>
      </c>
      <c r="L310">
        <f>F310</f>
        <v/>
      </c>
      <c r="M310" s="11">
        <f>I310*K310</f>
        <v/>
      </c>
      <c r="N310" s="12">
        <f>LN(G310)</f>
        <v/>
      </c>
      <c r="O310" s="12">
        <f>H310*Beta_0+I310*Beta_1+J310*Beta_2+K310*Beta_3+L310*Beta_4+M310*Beta_5</f>
        <v/>
      </c>
      <c r="P310" s="12">
        <f>N310-O310</f>
        <v/>
      </c>
      <c r="Q310" s="13">
        <f>EXP(O310)*Smearing_Factor</f>
        <v/>
      </c>
    </row>
    <row r="311">
      <c r="A311" t="n">
        <v>310</v>
      </c>
      <c r="B311" t="inlineStr">
        <is>
          <t>Arts and humanities</t>
        </is>
      </c>
      <c r="C311" s="9" t="n">
        <v>3.33</v>
      </c>
      <c r="D311" t="n">
        <v>6</v>
      </c>
      <c r="E311" t="n">
        <v>0</v>
      </c>
      <c r="F311" t="n">
        <v>0</v>
      </c>
      <c r="G311" s="10" t="n">
        <v>650</v>
      </c>
      <c r="H311" t="n">
        <v>1</v>
      </c>
      <c r="I311" s="11">
        <f>C311-CGPA_Mean</f>
        <v/>
      </c>
      <c r="J311">
        <f>D311</f>
        <v/>
      </c>
      <c r="K311">
        <f>E311</f>
        <v/>
      </c>
      <c r="L311">
        <f>F311</f>
        <v/>
      </c>
      <c r="M311" s="11">
        <f>I311*K311</f>
        <v/>
      </c>
      <c r="N311" s="12">
        <f>LN(G311)</f>
        <v/>
      </c>
      <c r="O311" s="12">
        <f>H311*Beta_0+I311*Beta_1+J311*Beta_2+K311*Beta_3+L311*Beta_4+M311*Beta_5</f>
        <v/>
      </c>
      <c r="P311" s="12">
        <f>N311-O311</f>
        <v/>
      </c>
      <c r="Q311" s="13">
        <f>EXP(O311)*Smearing_Factor</f>
        <v/>
      </c>
    </row>
    <row r="312">
      <c r="A312" t="n">
        <v>311</v>
      </c>
      <c r="B312" t="inlineStr">
        <is>
          <t>Natural sciences, mathematics and statistics</t>
        </is>
      </c>
      <c r="C312" s="9" t="n">
        <v>3.16</v>
      </c>
      <c r="D312" t="n">
        <v>6</v>
      </c>
      <c r="E312" t="n">
        <v>1</v>
      </c>
      <c r="F312" t="n">
        <v>0</v>
      </c>
      <c r="G312" s="10" t="n">
        <v>2340</v>
      </c>
      <c r="H312" t="n">
        <v>1</v>
      </c>
      <c r="I312" s="11">
        <f>C312-CGPA_Mean</f>
        <v/>
      </c>
      <c r="J312">
        <f>D312</f>
        <v/>
      </c>
      <c r="K312">
        <f>E312</f>
        <v/>
      </c>
      <c r="L312">
        <f>F312</f>
        <v/>
      </c>
      <c r="M312" s="11">
        <f>I312*K312</f>
        <v/>
      </c>
      <c r="N312" s="12">
        <f>LN(G312)</f>
        <v/>
      </c>
      <c r="O312" s="12">
        <f>H312*Beta_0+I312*Beta_1+J312*Beta_2+K312*Beta_3+L312*Beta_4+M312*Beta_5</f>
        <v/>
      </c>
      <c r="P312" s="12">
        <f>N312-O312</f>
        <v/>
      </c>
      <c r="Q312" s="13">
        <f>EXP(O312)*Smearing_Factor</f>
        <v/>
      </c>
    </row>
    <row r="313">
      <c r="A313" t="n">
        <v>312</v>
      </c>
      <c r="B313" t="inlineStr">
        <is>
          <t>Business, administration and law</t>
        </is>
      </c>
      <c r="C313" s="9" t="n">
        <v>3.34</v>
      </c>
      <c r="D313" t="n">
        <v>6</v>
      </c>
      <c r="E313" t="n">
        <v>0</v>
      </c>
      <c r="F313" t="n">
        <v>0</v>
      </c>
      <c r="G313" s="10" t="n">
        <v>2580</v>
      </c>
      <c r="H313" t="n">
        <v>1</v>
      </c>
      <c r="I313" s="11">
        <f>C313-CGPA_Mean</f>
        <v/>
      </c>
      <c r="J313">
        <f>D313</f>
        <v/>
      </c>
      <c r="K313">
        <f>E313</f>
        <v/>
      </c>
      <c r="L313">
        <f>F313</f>
        <v/>
      </c>
      <c r="M313" s="11">
        <f>I313*K313</f>
        <v/>
      </c>
      <c r="N313" s="12">
        <f>LN(G313)</f>
        <v/>
      </c>
      <c r="O313" s="12">
        <f>H313*Beta_0+I313*Beta_1+J313*Beta_2+K313*Beta_3+L313*Beta_4+M313*Beta_5</f>
        <v/>
      </c>
      <c r="P313" s="12">
        <f>N313-O313</f>
        <v/>
      </c>
      <c r="Q313" s="13">
        <f>EXP(O313)*Smearing_Factor</f>
        <v/>
      </c>
    </row>
    <row r="314">
      <c r="A314" t="n">
        <v>313</v>
      </c>
      <c r="B314" t="inlineStr">
        <is>
          <t>Business, administration and law</t>
        </is>
      </c>
      <c r="C314" s="9" t="n">
        <v>3.29</v>
      </c>
      <c r="D314" t="n">
        <v>6</v>
      </c>
      <c r="E314" t="n">
        <v>0</v>
      </c>
      <c r="F314" t="n">
        <v>0</v>
      </c>
      <c r="G314" s="10" t="n">
        <v>1940</v>
      </c>
      <c r="H314" t="n">
        <v>1</v>
      </c>
      <c r="I314" s="11">
        <f>C314-CGPA_Mean</f>
        <v/>
      </c>
      <c r="J314">
        <f>D314</f>
        <v/>
      </c>
      <c r="K314">
        <f>E314</f>
        <v/>
      </c>
      <c r="L314">
        <f>F314</f>
        <v/>
      </c>
      <c r="M314" s="11">
        <f>I314*K314</f>
        <v/>
      </c>
      <c r="N314" s="12">
        <f>LN(G314)</f>
        <v/>
      </c>
      <c r="O314" s="12">
        <f>H314*Beta_0+I314*Beta_1+J314*Beta_2+K314*Beta_3+L314*Beta_4+M314*Beta_5</f>
        <v/>
      </c>
      <c r="P314" s="12">
        <f>N314-O314</f>
        <v/>
      </c>
      <c r="Q314" s="13">
        <f>EXP(O314)*Smearing_Factor</f>
        <v/>
      </c>
    </row>
    <row r="315">
      <c r="A315" t="n">
        <v>314</v>
      </c>
      <c r="B315" t="inlineStr">
        <is>
          <t>Business, administration and law</t>
        </is>
      </c>
      <c r="C315" s="9" t="n">
        <v>2.87</v>
      </c>
      <c r="D315" t="n">
        <v>6</v>
      </c>
      <c r="E315" t="n">
        <v>0</v>
      </c>
      <c r="F315" t="n">
        <v>0</v>
      </c>
      <c r="G315" s="10" t="n">
        <v>4070</v>
      </c>
      <c r="H315" t="n">
        <v>1</v>
      </c>
      <c r="I315" s="11">
        <f>C315-CGPA_Mean</f>
        <v/>
      </c>
      <c r="J315">
        <f>D315</f>
        <v/>
      </c>
      <c r="K315">
        <f>E315</f>
        <v/>
      </c>
      <c r="L315">
        <f>F315</f>
        <v/>
      </c>
      <c r="M315" s="11">
        <f>I315*K315</f>
        <v/>
      </c>
      <c r="N315" s="12">
        <f>LN(G315)</f>
        <v/>
      </c>
      <c r="O315" s="12">
        <f>H315*Beta_0+I315*Beta_1+J315*Beta_2+K315*Beta_3+L315*Beta_4+M315*Beta_5</f>
        <v/>
      </c>
      <c r="P315" s="12">
        <f>N315-O315</f>
        <v/>
      </c>
      <c r="Q315" s="13">
        <f>EXP(O315)*Smearing_Factor</f>
        <v/>
      </c>
    </row>
    <row r="316">
      <c r="A316" t="n">
        <v>315</v>
      </c>
      <c r="B316" t="inlineStr">
        <is>
          <t>Arts and humanities</t>
        </is>
      </c>
      <c r="C316" s="9" t="n">
        <v>3.08</v>
      </c>
      <c r="D316" t="n">
        <v>9</v>
      </c>
      <c r="E316" t="n">
        <v>0</v>
      </c>
      <c r="F316" t="n">
        <v>0</v>
      </c>
      <c r="G316" s="10" t="n">
        <v>1790</v>
      </c>
      <c r="H316" t="n">
        <v>1</v>
      </c>
      <c r="I316" s="11">
        <f>C316-CGPA_Mean</f>
        <v/>
      </c>
      <c r="J316">
        <f>D316</f>
        <v/>
      </c>
      <c r="K316">
        <f>E316</f>
        <v/>
      </c>
      <c r="L316">
        <f>F316</f>
        <v/>
      </c>
      <c r="M316" s="11">
        <f>I316*K316</f>
        <v/>
      </c>
      <c r="N316" s="12">
        <f>LN(G316)</f>
        <v/>
      </c>
      <c r="O316" s="12">
        <f>H316*Beta_0+I316*Beta_1+J316*Beta_2+K316*Beta_3+L316*Beta_4+M316*Beta_5</f>
        <v/>
      </c>
      <c r="P316" s="12">
        <f>N316-O316</f>
        <v/>
      </c>
      <c r="Q316" s="13">
        <f>EXP(O316)*Smearing_Factor</f>
        <v/>
      </c>
    </row>
    <row r="317">
      <c r="A317" t="n">
        <v>316</v>
      </c>
      <c r="B317" t="inlineStr">
        <is>
          <t>Engineering, manufacturing and construction</t>
        </is>
      </c>
      <c r="C317" s="9" t="n">
        <v>3.25</v>
      </c>
      <c r="D317" t="n">
        <v>6</v>
      </c>
      <c r="E317" t="n">
        <v>1</v>
      </c>
      <c r="F317" t="n">
        <v>1</v>
      </c>
      <c r="G317" s="10" t="n">
        <v>10680</v>
      </c>
      <c r="H317" t="n">
        <v>1</v>
      </c>
      <c r="I317" s="11">
        <f>C317-CGPA_Mean</f>
        <v/>
      </c>
      <c r="J317">
        <f>D317</f>
        <v/>
      </c>
      <c r="K317">
        <f>E317</f>
        <v/>
      </c>
      <c r="L317">
        <f>F317</f>
        <v/>
      </c>
      <c r="M317" s="11">
        <f>I317*K317</f>
        <v/>
      </c>
      <c r="N317" s="12">
        <f>LN(G317)</f>
        <v/>
      </c>
      <c r="O317" s="12">
        <f>H317*Beta_0+I317*Beta_1+J317*Beta_2+K317*Beta_3+L317*Beta_4+M317*Beta_5</f>
        <v/>
      </c>
      <c r="P317" s="12">
        <f>N317-O317</f>
        <v/>
      </c>
      <c r="Q317" s="13">
        <f>EXP(O317)*Smearing_Factor</f>
        <v/>
      </c>
    </row>
    <row r="318">
      <c r="A318" t="n">
        <v>317</v>
      </c>
      <c r="B318" t="inlineStr">
        <is>
          <t>Business, administration and law</t>
        </is>
      </c>
      <c r="C318" s="9" t="n">
        <v>3.29</v>
      </c>
      <c r="D318" t="n">
        <v>6</v>
      </c>
      <c r="E318" t="n">
        <v>0</v>
      </c>
      <c r="F318" t="n">
        <v>0</v>
      </c>
      <c r="G318" s="10" t="n">
        <v>1890</v>
      </c>
      <c r="H318" t="n">
        <v>1</v>
      </c>
      <c r="I318" s="11">
        <f>C318-CGPA_Mean</f>
        <v/>
      </c>
      <c r="J318">
        <f>D318</f>
        <v/>
      </c>
      <c r="K318">
        <f>E318</f>
        <v/>
      </c>
      <c r="L318">
        <f>F318</f>
        <v/>
      </c>
      <c r="M318" s="11">
        <f>I318*K318</f>
        <v/>
      </c>
      <c r="N318" s="12">
        <f>LN(G318)</f>
        <v/>
      </c>
      <c r="O318" s="12">
        <f>H318*Beta_0+I318*Beta_1+J318*Beta_2+K318*Beta_3+L318*Beta_4+M318*Beta_5</f>
        <v/>
      </c>
      <c r="P318" s="12">
        <f>N318-O318</f>
        <v/>
      </c>
      <c r="Q318" s="13">
        <f>EXP(O318)*Smearing_Factor</f>
        <v/>
      </c>
    </row>
    <row r="319">
      <c r="A319" t="n">
        <v>318</v>
      </c>
      <c r="B319" t="inlineStr">
        <is>
          <t>Business, administration and law</t>
        </is>
      </c>
      <c r="C319" s="9" t="n">
        <v>3.09</v>
      </c>
      <c r="D319" t="n">
        <v>6</v>
      </c>
      <c r="E319" t="n">
        <v>0</v>
      </c>
      <c r="F319" t="n">
        <v>0</v>
      </c>
      <c r="G319" s="10" t="n">
        <v>1100</v>
      </c>
      <c r="H319" t="n">
        <v>1</v>
      </c>
      <c r="I319" s="11">
        <f>C319-CGPA_Mean</f>
        <v/>
      </c>
      <c r="J319">
        <f>D319</f>
        <v/>
      </c>
      <c r="K319">
        <f>E319</f>
        <v/>
      </c>
      <c r="L319">
        <f>F319</f>
        <v/>
      </c>
      <c r="M319" s="11">
        <f>I319*K319</f>
        <v/>
      </c>
      <c r="N319" s="12">
        <f>LN(G319)</f>
        <v/>
      </c>
      <c r="O319" s="12">
        <f>H319*Beta_0+I319*Beta_1+J319*Beta_2+K319*Beta_3+L319*Beta_4+M319*Beta_5</f>
        <v/>
      </c>
      <c r="P319" s="12">
        <f>N319-O319</f>
        <v/>
      </c>
      <c r="Q319" s="13">
        <f>EXP(O319)*Smearing_Factor</f>
        <v/>
      </c>
    </row>
    <row r="320">
      <c r="A320" t="n">
        <v>319</v>
      </c>
      <c r="B320" t="inlineStr">
        <is>
          <t>Business, administration and law</t>
        </is>
      </c>
      <c r="C320" s="9" t="n">
        <v>3.69</v>
      </c>
      <c r="D320" t="n">
        <v>6</v>
      </c>
      <c r="E320" t="n">
        <v>0</v>
      </c>
      <c r="F320" t="n">
        <v>1</v>
      </c>
      <c r="G320" s="10" t="n">
        <v>2890</v>
      </c>
      <c r="H320" t="n">
        <v>1</v>
      </c>
      <c r="I320" s="11">
        <f>C320-CGPA_Mean</f>
        <v/>
      </c>
      <c r="J320">
        <f>D320</f>
        <v/>
      </c>
      <c r="K320">
        <f>E320</f>
        <v/>
      </c>
      <c r="L320">
        <f>F320</f>
        <v/>
      </c>
      <c r="M320" s="11">
        <f>I320*K320</f>
        <v/>
      </c>
      <c r="N320" s="12">
        <f>LN(G320)</f>
        <v/>
      </c>
      <c r="O320" s="12">
        <f>H320*Beta_0+I320*Beta_1+J320*Beta_2+K320*Beta_3+L320*Beta_4+M320*Beta_5</f>
        <v/>
      </c>
      <c r="P320" s="12">
        <f>N320-O320</f>
        <v/>
      </c>
      <c r="Q320" s="13">
        <f>EXP(O320)*Smearing_Factor</f>
        <v/>
      </c>
    </row>
    <row r="321">
      <c r="A321" t="n">
        <v>320</v>
      </c>
      <c r="B321" t="inlineStr">
        <is>
          <t>Social sciences, journalism and information</t>
        </is>
      </c>
      <c r="C321" s="9" t="n">
        <v>2.67</v>
      </c>
      <c r="D321" t="n">
        <v>6</v>
      </c>
      <c r="E321" t="n">
        <v>0</v>
      </c>
      <c r="F321" t="n">
        <v>0</v>
      </c>
      <c r="G321" s="10" t="n">
        <v>3080</v>
      </c>
      <c r="H321" t="n">
        <v>1</v>
      </c>
      <c r="I321" s="11">
        <f>C321-CGPA_Mean</f>
        <v/>
      </c>
      <c r="J321">
        <f>D321</f>
        <v/>
      </c>
      <c r="K321">
        <f>E321</f>
        <v/>
      </c>
      <c r="L321">
        <f>F321</f>
        <v/>
      </c>
      <c r="M321" s="11">
        <f>I321*K321</f>
        <v/>
      </c>
      <c r="N321" s="12">
        <f>LN(G321)</f>
        <v/>
      </c>
      <c r="O321" s="12">
        <f>H321*Beta_0+I321*Beta_1+J321*Beta_2+K321*Beta_3+L321*Beta_4+M321*Beta_5</f>
        <v/>
      </c>
      <c r="P321" s="12">
        <f>N321-O321</f>
        <v/>
      </c>
      <c r="Q321" s="13">
        <f>EXP(O321)*Smearing_Factor</f>
        <v/>
      </c>
    </row>
    <row r="322">
      <c r="A322" t="n">
        <v>321</v>
      </c>
      <c r="B322" t="inlineStr">
        <is>
          <t>Business, administration and law</t>
        </is>
      </c>
      <c r="C322" s="9" t="n">
        <v>3.59</v>
      </c>
      <c r="D322" t="n">
        <v>3</v>
      </c>
      <c r="E322" t="n">
        <v>0</v>
      </c>
      <c r="F322" t="n">
        <v>0</v>
      </c>
      <c r="G322" s="10" t="n">
        <v>2190</v>
      </c>
      <c r="H322" t="n">
        <v>1</v>
      </c>
      <c r="I322" s="11">
        <f>C322-CGPA_Mean</f>
        <v/>
      </c>
      <c r="J322">
        <f>D322</f>
        <v/>
      </c>
      <c r="K322">
        <f>E322</f>
        <v/>
      </c>
      <c r="L322">
        <f>F322</f>
        <v/>
      </c>
      <c r="M322" s="11">
        <f>I322*K322</f>
        <v/>
      </c>
      <c r="N322" s="12">
        <f>LN(G322)</f>
        <v/>
      </c>
      <c r="O322" s="12">
        <f>H322*Beta_0+I322*Beta_1+J322*Beta_2+K322*Beta_3+L322*Beta_4+M322*Beta_5</f>
        <v/>
      </c>
      <c r="P322" s="12">
        <f>N322-O322</f>
        <v/>
      </c>
      <c r="Q322" s="13">
        <f>EXP(O322)*Smearing_Factor</f>
        <v/>
      </c>
    </row>
    <row r="323">
      <c r="A323" t="n">
        <v>322</v>
      </c>
      <c r="B323" t="inlineStr">
        <is>
          <t>Engineering, manufacturing and construction</t>
        </is>
      </c>
      <c r="C323" s="9" t="n">
        <v>3.04</v>
      </c>
      <c r="D323" t="n">
        <v>6</v>
      </c>
      <c r="E323" t="n">
        <v>1</v>
      </c>
      <c r="F323" t="n">
        <v>1</v>
      </c>
      <c r="G323" s="10" t="n">
        <v>2880</v>
      </c>
      <c r="H323" t="n">
        <v>1</v>
      </c>
      <c r="I323" s="11">
        <f>C323-CGPA_Mean</f>
        <v/>
      </c>
      <c r="J323">
        <f>D323</f>
        <v/>
      </c>
      <c r="K323">
        <f>E323</f>
        <v/>
      </c>
      <c r="L323">
        <f>F323</f>
        <v/>
      </c>
      <c r="M323" s="11">
        <f>I323*K323</f>
        <v/>
      </c>
      <c r="N323" s="12">
        <f>LN(G323)</f>
        <v/>
      </c>
      <c r="O323" s="12">
        <f>H323*Beta_0+I323*Beta_1+J323*Beta_2+K323*Beta_3+L323*Beta_4+M323*Beta_5</f>
        <v/>
      </c>
      <c r="P323" s="12">
        <f>N323-O323</f>
        <v/>
      </c>
      <c r="Q323" s="13">
        <f>EXP(O323)*Smearing_Factor</f>
        <v/>
      </c>
    </row>
    <row r="324">
      <c r="A324" t="n">
        <v>323</v>
      </c>
      <c r="B324" t="inlineStr">
        <is>
          <t>Natural sciences, mathematics and statistics</t>
        </is>
      </c>
      <c r="C324" s="9" t="n">
        <v>3.35</v>
      </c>
      <c r="D324" t="n">
        <v>6</v>
      </c>
      <c r="E324" t="n">
        <v>1</v>
      </c>
      <c r="F324" t="n">
        <v>0</v>
      </c>
      <c r="G324" s="10" t="n">
        <v>2830</v>
      </c>
      <c r="H324" t="n">
        <v>1</v>
      </c>
      <c r="I324" s="11">
        <f>C324-CGPA_Mean</f>
        <v/>
      </c>
      <c r="J324">
        <f>D324</f>
        <v/>
      </c>
      <c r="K324">
        <f>E324</f>
        <v/>
      </c>
      <c r="L324">
        <f>F324</f>
        <v/>
      </c>
      <c r="M324" s="11">
        <f>I324*K324</f>
        <v/>
      </c>
      <c r="N324" s="12">
        <f>LN(G324)</f>
        <v/>
      </c>
      <c r="O324" s="12">
        <f>H324*Beta_0+I324*Beta_1+J324*Beta_2+K324*Beta_3+L324*Beta_4+M324*Beta_5</f>
        <v/>
      </c>
      <c r="P324" s="12">
        <f>N324-O324</f>
        <v/>
      </c>
      <c r="Q324" s="13">
        <f>EXP(O324)*Smearing_Factor</f>
        <v/>
      </c>
    </row>
    <row r="325">
      <c r="A325" t="n">
        <v>324</v>
      </c>
      <c r="B325" t="inlineStr">
        <is>
          <t>Social sciences, journalism and information</t>
        </is>
      </c>
      <c r="C325" s="9" t="n">
        <v>3.2</v>
      </c>
      <c r="D325" t="n">
        <v>6</v>
      </c>
      <c r="E325" t="n">
        <v>0</v>
      </c>
      <c r="F325" t="n">
        <v>0</v>
      </c>
      <c r="G325" s="10" t="n">
        <v>3850</v>
      </c>
      <c r="H325" t="n">
        <v>1</v>
      </c>
      <c r="I325" s="11">
        <f>C325-CGPA_Mean</f>
        <v/>
      </c>
      <c r="J325">
        <f>D325</f>
        <v/>
      </c>
      <c r="K325">
        <f>E325</f>
        <v/>
      </c>
      <c r="L325">
        <f>F325</f>
        <v/>
      </c>
      <c r="M325" s="11">
        <f>I325*K325</f>
        <v/>
      </c>
      <c r="N325" s="12">
        <f>LN(G325)</f>
        <v/>
      </c>
      <c r="O325" s="12">
        <f>H325*Beta_0+I325*Beta_1+J325*Beta_2+K325*Beta_3+L325*Beta_4+M325*Beta_5</f>
        <v/>
      </c>
      <c r="P325" s="12">
        <f>N325-O325</f>
        <v/>
      </c>
      <c r="Q325" s="13">
        <f>EXP(O325)*Smearing_Factor</f>
        <v/>
      </c>
    </row>
    <row r="326">
      <c r="A326" t="n">
        <v>325</v>
      </c>
      <c r="B326" t="inlineStr">
        <is>
          <t>Education</t>
        </is>
      </c>
      <c r="C326" s="9" t="n">
        <v>2.59</v>
      </c>
      <c r="D326" t="n">
        <v>3</v>
      </c>
      <c r="E326" t="n">
        <v>0</v>
      </c>
      <c r="F326" t="n">
        <v>0</v>
      </c>
      <c r="G326" s="10" t="n">
        <v>840</v>
      </c>
      <c r="H326" t="n">
        <v>1</v>
      </c>
      <c r="I326" s="11">
        <f>C326-CGPA_Mean</f>
        <v/>
      </c>
      <c r="J326">
        <f>D326</f>
        <v/>
      </c>
      <c r="K326">
        <f>E326</f>
        <v/>
      </c>
      <c r="L326">
        <f>F326</f>
        <v/>
      </c>
      <c r="M326" s="11">
        <f>I326*K326</f>
        <v/>
      </c>
      <c r="N326" s="12">
        <f>LN(G326)</f>
        <v/>
      </c>
      <c r="O326" s="12">
        <f>H326*Beta_0+I326*Beta_1+J326*Beta_2+K326*Beta_3+L326*Beta_4+M326*Beta_5</f>
        <v/>
      </c>
      <c r="P326" s="12">
        <f>N326-O326</f>
        <v/>
      </c>
      <c r="Q326" s="13">
        <f>EXP(O326)*Smearing_Factor</f>
        <v/>
      </c>
    </row>
    <row r="327">
      <c r="A327" t="n">
        <v>326</v>
      </c>
      <c r="B327" t="inlineStr">
        <is>
          <t>Information and communication technologies</t>
        </is>
      </c>
      <c r="C327" s="9" t="n">
        <v>3.62</v>
      </c>
      <c r="D327" t="n">
        <v>6</v>
      </c>
      <c r="E327" t="n">
        <v>1</v>
      </c>
      <c r="F327" t="n">
        <v>1</v>
      </c>
      <c r="G327" s="10" t="n">
        <v>8200</v>
      </c>
      <c r="H327" t="n">
        <v>1</v>
      </c>
      <c r="I327" s="11">
        <f>C327-CGPA_Mean</f>
        <v/>
      </c>
      <c r="J327">
        <f>D327</f>
        <v/>
      </c>
      <c r="K327">
        <f>E327</f>
        <v/>
      </c>
      <c r="L327">
        <f>F327</f>
        <v/>
      </c>
      <c r="M327" s="11">
        <f>I327*K327</f>
        <v/>
      </c>
      <c r="N327" s="12">
        <f>LN(G327)</f>
        <v/>
      </c>
      <c r="O327" s="12">
        <f>H327*Beta_0+I327*Beta_1+J327*Beta_2+K327*Beta_3+L327*Beta_4+M327*Beta_5</f>
        <v/>
      </c>
      <c r="P327" s="12">
        <f>N327-O327</f>
        <v/>
      </c>
      <c r="Q327" s="13">
        <f>EXP(O327)*Smearing_Factor</f>
        <v/>
      </c>
    </row>
    <row r="328">
      <c r="A328" t="n">
        <v>327</v>
      </c>
      <c r="B328" t="inlineStr">
        <is>
          <t>Arts and humanities</t>
        </is>
      </c>
      <c r="C328" s="9" t="n">
        <v>3.83</v>
      </c>
      <c r="D328" t="n">
        <v>6</v>
      </c>
      <c r="E328" t="n">
        <v>0</v>
      </c>
      <c r="F328" t="n">
        <v>0</v>
      </c>
      <c r="G328" s="10" t="n">
        <v>2180</v>
      </c>
      <c r="H328" t="n">
        <v>1</v>
      </c>
      <c r="I328" s="11">
        <f>C328-CGPA_Mean</f>
        <v/>
      </c>
      <c r="J328">
        <f>D328</f>
        <v/>
      </c>
      <c r="K328">
        <f>E328</f>
        <v/>
      </c>
      <c r="L328">
        <f>F328</f>
        <v/>
      </c>
      <c r="M328" s="11">
        <f>I328*K328</f>
        <v/>
      </c>
      <c r="N328" s="12">
        <f>LN(G328)</f>
        <v/>
      </c>
      <c r="O328" s="12">
        <f>H328*Beta_0+I328*Beta_1+J328*Beta_2+K328*Beta_3+L328*Beta_4+M328*Beta_5</f>
        <v/>
      </c>
      <c r="P328" s="12">
        <f>N328-O328</f>
        <v/>
      </c>
      <c r="Q328" s="13">
        <f>EXP(O328)*Smearing_Factor</f>
        <v/>
      </c>
    </row>
    <row r="329">
      <c r="A329" t="n">
        <v>328</v>
      </c>
      <c r="B329" t="inlineStr">
        <is>
          <t>Business, administration and law</t>
        </is>
      </c>
      <c r="C329" s="9" t="n">
        <v>3.38</v>
      </c>
      <c r="D329" t="n">
        <v>6</v>
      </c>
      <c r="E329" t="n">
        <v>0</v>
      </c>
      <c r="F329" t="n">
        <v>0</v>
      </c>
      <c r="G329" s="10" t="n">
        <v>2710</v>
      </c>
      <c r="H329" t="n">
        <v>1</v>
      </c>
      <c r="I329" s="11">
        <f>C329-CGPA_Mean</f>
        <v/>
      </c>
      <c r="J329">
        <f>D329</f>
        <v/>
      </c>
      <c r="K329">
        <f>E329</f>
        <v/>
      </c>
      <c r="L329">
        <f>F329</f>
        <v/>
      </c>
      <c r="M329" s="11">
        <f>I329*K329</f>
        <v/>
      </c>
      <c r="N329" s="12">
        <f>LN(G329)</f>
        <v/>
      </c>
      <c r="O329" s="12">
        <f>H329*Beta_0+I329*Beta_1+J329*Beta_2+K329*Beta_3+L329*Beta_4+M329*Beta_5</f>
        <v/>
      </c>
      <c r="P329" s="12">
        <f>N329-O329</f>
        <v/>
      </c>
      <c r="Q329" s="13">
        <f>EXP(O329)*Smearing_Factor</f>
        <v/>
      </c>
    </row>
    <row r="330">
      <c r="A330" t="n">
        <v>329</v>
      </c>
      <c r="B330" t="inlineStr">
        <is>
          <t>Engineering, manufacturing and construction</t>
        </is>
      </c>
      <c r="C330" s="9" t="n">
        <v>3.24</v>
      </c>
      <c r="D330" t="n">
        <v>3</v>
      </c>
      <c r="E330" t="n">
        <v>1</v>
      </c>
      <c r="F330" t="n">
        <v>1</v>
      </c>
      <c r="G330" s="10" t="n">
        <v>3530</v>
      </c>
      <c r="H330" t="n">
        <v>1</v>
      </c>
      <c r="I330" s="11">
        <f>C330-CGPA_Mean</f>
        <v/>
      </c>
      <c r="J330">
        <f>D330</f>
        <v/>
      </c>
      <c r="K330">
        <f>E330</f>
        <v/>
      </c>
      <c r="L330">
        <f>F330</f>
        <v/>
      </c>
      <c r="M330" s="11">
        <f>I330*K330</f>
        <v/>
      </c>
      <c r="N330" s="12">
        <f>LN(G330)</f>
        <v/>
      </c>
      <c r="O330" s="12">
        <f>H330*Beta_0+I330*Beta_1+J330*Beta_2+K330*Beta_3+L330*Beta_4+M330*Beta_5</f>
        <v/>
      </c>
      <c r="P330" s="12">
        <f>N330-O330</f>
        <v/>
      </c>
      <c r="Q330" s="13">
        <f>EXP(O330)*Smearing_Factor</f>
        <v/>
      </c>
    </row>
    <row r="331">
      <c r="A331" t="n">
        <v>330</v>
      </c>
      <c r="B331" t="inlineStr">
        <is>
          <t>Business, administration and law</t>
        </is>
      </c>
      <c r="C331" s="9" t="n">
        <v>3.19</v>
      </c>
      <c r="D331" t="n">
        <v>6</v>
      </c>
      <c r="E331" t="n">
        <v>0</v>
      </c>
      <c r="F331" t="n">
        <v>1</v>
      </c>
      <c r="G331" s="10" t="n">
        <v>3010</v>
      </c>
      <c r="H331" t="n">
        <v>1</v>
      </c>
      <c r="I331" s="11">
        <f>C331-CGPA_Mean</f>
        <v/>
      </c>
      <c r="J331">
        <f>D331</f>
        <v/>
      </c>
      <c r="K331">
        <f>E331</f>
        <v/>
      </c>
      <c r="L331">
        <f>F331</f>
        <v/>
      </c>
      <c r="M331" s="11">
        <f>I331*K331</f>
        <v/>
      </c>
      <c r="N331" s="12">
        <f>LN(G331)</f>
        <v/>
      </c>
      <c r="O331" s="12">
        <f>H331*Beta_0+I331*Beta_1+J331*Beta_2+K331*Beta_3+L331*Beta_4+M331*Beta_5</f>
        <v/>
      </c>
      <c r="P331" s="12">
        <f>N331-O331</f>
        <v/>
      </c>
      <c r="Q331" s="13">
        <f>EXP(O331)*Smearing_Factor</f>
        <v/>
      </c>
    </row>
    <row r="332">
      <c r="A332" t="n">
        <v>331</v>
      </c>
      <c r="B332" t="inlineStr">
        <is>
          <t>Engineering, manufacturing and construction</t>
        </is>
      </c>
      <c r="C332" s="9" t="n">
        <v>2.93</v>
      </c>
      <c r="D332" t="n">
        <v>3</v>
      </c>
      <c r="E332" t="n">
        <v>1</v>
      </c>
      <c r="F332" t="n">
        <v>1</v>
      </c>
      <c r="G332" s="10" t="n">
        <v>2470</v>
      </c>
      <c r="H332" t="n">
        <v>1</v>
      </c>
      <c r="I332" s="11">
        <f>C332-CGPA_Mean</f>
        <v/>
      </c>
      <c r="J332">
        <f>D332</f>
        <v/>
      </c>
      <c r="K332">
        <f>E332</f>
        <v/>
      </c>
      <c r="L332">
        <f>F332</f>
        <v/>
      </c>
      <c r="M332" s="11">
        <f>I332*K332</f>
        <v/>
      </c>
      <c r="N332" s="12">
        <f>LN(G332)</f>
        <v/>
      </c>
      <c r="O332" s="12">
        <f>H332*Beta_0+I332*Beta_1+J332*Beta_2+K332*Beta_3+L332*Beta_4+M332*Beta_5</f>
        <v/>
      </c>
      <c r="P332" s="12">
        <f>N332-O332</f>
        <v/>
      </c>
      <c r="Q332" s="13">
        <f>EXP(O332)*Smearing_Factor</f>
        <v/>
      </c>
    </row>
    <row r="333">
      <c r="A333" t="n">
        <v>332</v>
      </c>
      <c r="B333" t="inlineStr">
        <is>
          <t>Education</t>
        </is>
      </c>
      <c r="C333" s="9" t="n">
        <v>3.73</v>
      </c>
      <c r="D333" t="n">
        <v>6</v>
      </c>
      <c r="E333" t="n">
        <v>0</v>
      </c>
      <c r="F333" t="n">
        <v>1</v>
      </c>
      <c r="G333" s="10" t="n">
        <v>3230</v>
      </c>
      <c r="H333" t="n">
        <v>1</v>
      </c>
      <c r="I333" s="11">
        <f>C333-CGPA_Mean</f>
        <v/>
      </c>
      <c r="J333">
        <f>D333</f>
        <v/>
      </c>
      <c r="K333">
        <f>E333</f>
        <v/>
      </c>
      <c r="L333">
        <f>F333</f>
        <v/>
      </c>
      <c r="M333" s="11">
        <f>I333*K333</f>
        <v/>
      </c>
      <c r="N333" s="12">
        <f>LN(G333)</f>
        <v/>
      </c>
      <c r="O333" s="12">
        <f>H333*Beta_0+I333*Beta_1+J333*Beta_2+K333*Beta_3+L333*Beta_4+M333*Beta_5</f>
        <v/>
      </c>
      <c r="P333" s="12">
        <f>N333-O333</f>
        <v/>
      </c>
      <c r="Q333" s="13">
        <f>EXP(O333)*Smearing_Factor</f>
        <v/>
      </c>
    </row>
    <row r="334">
      <c r="A334" t="n">
        <v>333</v>
      </c>
      <c r="B334" t="inlineStr">
        <is>
          <t>Services</t>
        </is>
      </c>
      <c r="C334" s="9" t="n">
        <v>3.18</v>
      </c>
      <c r="D334" t="n">
        <v>3</v>
      </c>
      <c r="E334" t="n">
        <v>0</v>
      </c>
      <c r="F334" t="n">
        <v>1</v>
      </c>
      <c r="G334" s="10" t="n">
        <v>4810</v>
      </c>
      <c r="H334" t="n">
        <v>1</v>
      </c>
      <c r="I334" s="11">
        <f>C334-CGPA_Mean</f>
        <v/>
      </c>
      <c r="J334">
        <f>D334</f>
        <v/>
      </c>
      <c r="K334">
        <f>E334</f>
        <v/>
      </c>
      <c r="L334">
        <f>F334</f>
        <v/>
      </c>
      <c r="M334" s="11">
        <f>I334*K334</f>
        <v/>
      </c>
      <c r="N334" s="12">
        <f>LN(G334)</f>
        <v/>
      </c>
      <c r="O334" s="12">
        <f>H334*Beta_0+I334*Beta_1+J334*Beta_2+K334*Beta_3+L334*Beta_4+M334*Beta_5</f>
        <v/>
      </c>
      <c r="P334" s="12">
        <f>N334-O334</f>
        <v/>
      </c>
      <c r="Q334" s="13">
        <f>EXP(O334)*Smearing_Factor</f>
        <v/>
      </c>
    </row>
    <row r="335">
      <c r="A335" t="n">
        <v>334</v>
      </c>
      <c r="B335" t="inlineStr">
        <is>
          <t>Engineering, manufacturing and construction</t>
        </is>
      </c>
      <c r="C335" s="9" t="n">
        <v>3.31</v>
      </c>
      <c r="D335" t="n">
        <v>3</v>
      </c>
      <c r="E335" t="n">
        <v>1</v>
      </c>
      <c r="F335" t="n">
        <v>0</v>
      </c>
      <c r="G335" s="10" t="n">
        <v>940</v>
      </c>
      <c r="H335" t="n">
        <v>1</v>
      </c>
      <c r="I335" s="11">
        <f>C335-CGPA_Mean</f>
        <v/>
      </c>
      <c r="J335">
        <f>D335</f>
        <v/>
      </c>
      <c r="K335">
        <f>E335</f>
        <v/>
      </c>
      <c r="L335">
        <f>F335</f>
        <v/>
      </c>
      <c r="M335" s="11">
        <f>I335*K335</f>
        <v/>
      </c>
      <c r="N335" s="12">
        <f>LN(G335)</f>
        <v/>
      </c>
      <c r="O335" s="12">
        <f>H335*Beta_0+I335*Beta_1+J335*Beta_2+K335*Beta_3+L335*Beta_4+M335*Beta_5</f>
        <v/>
      </c>
      <c r="P335" s="12">
        <f>N335-O335</f>
        <v/>
      </c>
      <c r="Q335" s="13">
        <f>EXP(O335)*Smearing_Factor</f>
        <v/>
      </c>
    </row>
    <row r="336">
      <c r="A336" t="n">
        <v>335</v>
      </c>
      <c r="B336" t="inlineStr">
        <is>
          <t>Business, administration and law</t>
        </is>
      </c>
      <c r="C336" s="9" t="n">
        <v>3.03</v>
      </c>
      <c r="D336" t="n">
        <v>6</v>
      </c>
      <c r="E336" t="n">
        <v>0</v>
      </c>
      <c r="F336" t="n">
        <v>1</v>
      </c>
      <c r="G336" s="10" t="n">
        <v>2170</v>
      </c>
      <c r="H336" t="n">
        <v>1</v>
      </c>
      <c r="I336" s="11">
        <f>C336-CGPA_Mean</f>
        <v/>
      </c>
      <c r="J336">
        <f>D336</f>
        <v/>
      </c>
      <c r="K336">
        <f>E336</f>
        <v/>
      </c>
      <c r="L336">
        <f>F336</f>
        <v/>
      </c>
      <c r="M336" s="11">
        <f>I336*K336</f>
        <v/>
      </c>
      <c r="N336" s="12">
        <f>LN(G336)</f>
        <v/>
      </c>
      <c r="O336" s="12">
        <f>H336*Beta_0+I336*Beta_1+J336*Beta_2+K336*Beta_3+L336*Beta_4+M336*Beta_5</f>
        <v/>
      </c>
      <c r="P336" s="12">
        <f>N336-O336</f>
        <v/>
      </c>
      <c r="Q336" s="13">
        <f>EXP(O336)*Smearing_Factor</f>
        <v/>
      </c>
    </row>
    <row r="337">
      <c r="A337" t="n">
        <v>336</v>
      </c>
      <c r="B337" t="inlineStr">
        <is>
          <t>Natural sciences, mathematics and statistics</t>
        </is>
      </c>
      <c r="C337" s="9" t="n">
        <v>3.83</v>
      </c>
      <c r="D337" t="n">
        <v>3</v>
      </c>
      <c r="E337" t="n">
        <v>1</v>
      </c>
      <c r="F337" t="n">
        <v>0</v>
      </c>
      <c r="G337" s="10" t="n">
        <v>2430</v>
      </c>
      <c r="H337" t="n">
        <v>1</v>
      </c>
      <c r="I337" s="11">
        <f>C337-CGPA_Mean</f>
        <v/>
      </c>
      <c r="J337">
        <f>D337</f>
        <v/>
      </c>
      <c r="K337">
        <f>E337</f>
        <v/>
      </c>
      <c r="L337">
        <f>F337</f>
        <v/>
      </c>
      <c r="M337" s="11">
        <f>I337*K337</f>
        <v/>
      </c>
      <c r="N337" s="12">
        <f>LN(G337)</f>
        <v/>
      </c>
      <c r="O337" s="12">
        <f>H337*Beta_0+I337*Beta_1+J337*Beta_2+K337*Beta_3+L337*Beta_4+M337*Beta_5</f>
        <v/>
      </c>
      <c r="P337" s="12">
        <f>N337-O337</f>
        <v/>
      </c>
      <c r="Q337" s="13">
        <f>EXP(O337)*Smearing_Factor</f>
        <v/>
      </c>
    </row>
    <row r="338">
      <c r="A338" t="n">
        <v>337</v>
      </c>
      <c r="B338" t="inlineStr">
        <is>
          <t>Information and communication technologies</t>
        </is>
      </c>
      <c r="C338" s="9" t="n">
        <v>3.45</v>
      </c>
      <c r="D338" t="n">
        <v>3</v>
      </c>
      <c r="E338" t="n">
        <v>1</v>
      </c>
      <c r="F338" t="n">
        <v>0</v>
      </c>
      <c r="G338" s="10" t="n">
        <v>2780</v>
      </c>
      <c r="H338" t="n">
        <v>1</v>
      </c>
      <c r="I338" s="11">
        <f>C338-CGPA_Mean</f>
        <v/>
      </c>
      <c r="J338">
        <f>D338</f>
        <v/>
      </c>
      <c r="K338">
        <f>E338</f>
        <v/>
      </c>
      <c r="L338">
        <f>F338</f>
        <v/>
      </c>
      <c r="M338" s="11">
        <f>I338*K338</f>
        <v/>
      </c>
      <c r="N338" s="12">
        <f>LN(G338)</f>
        <v/>
      </c>
      <c r="O338" s="12">
        <f>H338*Beta_0+I338*Beta_1+J338*Beta_2+K338*Beta_3+L338*Beta_4+M338*Beta_5</f>
        <v/>
      </c>
      <c r="P338" s="12">
        <f>N338-O338</f>
        <v/>
      </c>
      <c r="Q338" s="13">
        <f>EXP(O338)*Smearing_Factor</f>
        <v/>
      </c>
    </row>
    <row r="339">
      <c r="A339" t="n">
        <v>338</v>
      </c>
      <c r="B339" t="inlineStr">
        <is>
          <t>Natural sciences, mathematics and statistics</t>
        </is>
      </c>
      <c r="C339" s="9" t="n">
        <v>3.21</v>
      </c>
      <c r="D339" t="n">
        <v>6</v>
      </c>
      <c r="E339" t="n">
        <v>1</v>
      </c>
      <c r="F339" t="n">
        <v>1</v>
      </c>
      <c r="G339" s="10" t="n">
        <v>1520</v>
      </c>
      <c r="H339" t="n">
        <v>1</v>
      </c>
      <c r="I339" s="11">
        <f>C339-CGPA_Mean</f>
        <v/>
      </c>
      <c r="J339">
        <f>D339</f>
        <v/>
      </c>
      <c r="K339">
        <f>E339</f>
        <v/>
      </c>
      <c r="L339">
        <f>F339</f>
        <v/>
      </c>
      <c r="M339" s="11">
        <f>I339*K339</f>
        <v/>
      </c>
      <c r="N339" s="12">
        <f>LN(G339)</f>
        <v/>
      </c>
      <c r="O339" s="12">
        <f>H339*Beta_0+I339*Beta_1+J339*Beta_2+K339*Beta_3+L339*Beta_4+M339*Beta_5</f>
        <v/>
      </c>
      <c r="P339" s="12">
        <f>N339-O339</f>
        <v/>
      </c>
      <c r="Q339" s="13">
        <f>EXP(O339)*Smearing_Factor</f>
        <v/>
      </c>
    </row>
    <row r="340">
      <c r="A340" t="n">
        <v>339</v>
      </c>
      <c r="B340" t="inlineStr">
        <is>
          <t>Education</t>
        </is>
      </c>
      <c r="C340" s="9" t="n">
        <v>3.04</v>
      </c>
      <c r="D340" t="n">
        <v>6</v>
      </c>
      <c r="E340" t="n">
        <v>0</v>
      </c>
      <c r="F340" t="n">
        <v>1</v>
      </c>
      <c r="G340" s="10" t="n">
        <v>2940</v>
      </c>
      <c r="H340" t="n">
        <v>1</v>
      </c>
      <c r="I340" s="11">
        <f>C340-CGPA_Mean</f>
        <v/>
      </c>
      <c r="J340">
        <f>D340</f>
        <v/>
      </c>
      <c r="K340">
        <f>E340</f>
        <v/>
      </c>
      <c r="L340">
        <f>F340</f>
        <v/>
      </c>
      <c r="M340" s="11">
        <f>I340*K340</f>
        <v/>
      </c>
      <c r="N340" s="12">
        <f>LN(G340)</f>
        <v/>
      </c>
      <c r="O340" s="12">
        <f>H340*Beta_0+I340*Beta_1+J340*Beta_2+K340*Beta_3+L340*Beta_4+M340*Beta_5</f>
        <v/>
      </c>
      <c r="P340" s="12">
        <f>N340-O340</f>
        <v/>
      </c>
      <c r="Q340" s="13">
        <f>EXP(O340)*Smearing_Factor</f>
        <v/>
      </c>
    </row>
    <row r="341">
      <c r="A341" t="n">
        <v>340</v>
      </c>
      <c r="B341" t="inlineStr">
        <is>
          <t>Social sciences, journalism and information</t>
        </is>
      </c>
      <c r="C341" s="9" t="n">
        <v>3.7</v>
      </c>
      <c r="D341" t="n">
        <v>6</v>
      </c>
      <c r="E341" t="n">
        <v>0</v>
      </c>
      <c r="F341" t="n">
        <v>0</v>
      </c>
      <c r="G341" s="10" t="n">
        <v>2780</v>
      </c>
      <c r="H341" t="n">
        <v>1</v>
      </c>
      <c r="I341" s="11">
        <f>C341-CGPA_Mean</f>
        <v/>
      </c>
      <c r="J341">
        <f>D341</f>
        <v/>
      </c>
      <c r="K341">
        <f>E341</f>
        <v/>
      </c>
      <c r="L341">
        <f>F341</f>
        <v/>
      </c>
      <c r="M341" s="11">
        <f>I341*K341</f>
        <v/>
      </c>
      <c r="N341" s="12">
        <f>LN(G341)</f>
        <v/>
      </c>
      <c r="O341" s="12">
        <f>H341*Beta_0+I341*Beta_1+J341*Beta_2+K341*Beta_3+L341*Beta_4+M341*Beta_5</f>
        <v/>
      </c>
      <c r="P341" s="12">
        <f>N341-O341</f>
        <v/>
      </c>
      <c r="Q341" s="13">
        <f>EXP(O341)*Smearing_Factor</f>
        <v/>
      </c>
    </row>
    <row r="342">
      <c r="A342" t="n">
        <v>341</v>
      </c>
      <c r="B342" t="inlineStr">
        <is>
          <t>Arts and humanities</t>
        </is>
      </c>
      <c r="C342" s="9" t="n">
        <v>2.58</v>
      </c>
      <c r="D342" t="n">
        <v>3</v>
      </c>
      <c r="E342" t="n">
        <v>0</v>
      </c>
      <c r="F342" t="n">
        <v>0</v>
      </c>
      <c r="G342" s="10" t="n">
        <v>550</v>
      </c>
      <c r="H342" t="n">
        <v>1</v>
      </c>
      <c r="I342" s="11">
        <f>C342-CGPA_Mean</f>
        <v/>
      </c>
      <c r="J342">
        <f>D342</f>
        <v/>
      </c>
      <c r="K342">
        <f>E342</f>
        <v/>
      </c>
      <c r="L342">
        <f>F342</f>
        <v/>
      </c>
      <c r="M342" s="11">
        <f>I342*K342</f>
        <v/>
      </c>
      <c r="N342" s="12">
        <f>LN(G342)</f>
        <v/>
      </c>
      <c r="O342" s="12">
        <f>H342*Beta_0+I342*Beta_1+J342*Beta_2+K342*Beta_3+L342*Beta_4+M342*Beta_5</f>
        <v/>
      </c>
      <c r="P342" s="12">
        <f>N342-O342</f>
        <v/>
      </c>
      <c r="Q342" s="13">
        <f>EXP(O342)*Smearing_Factor</f>
        <v/>
      </c>
    </row>
    <row r="343">
      <c r="A343" t="n">
        <v>342</v>
      </c>
      <c r="B343" t="inlineStr">
        <is>
          <t>Business, administration and law</t>
        </is>
      </c>
      <c r="C343" s="9" t="n">
        <v>3.16</v>
      </c>
      <c r="D343" t="n">
        <v>3</v>
      </c>
      <c r="E343" t="n">
        <v>0</v>
      </c>
      <c r="F343" t="n">
        <v>1</v>
      </c>
      <c r="G343" s="10" t="n">
        <v>1860</v>
      </c>
      <c r="H343" t="n">
        <v>1</v>
      </c>
      <c r="I343" s="11">
        <f>C343-CGPA_Mean</f>
        <v/>
      </c>
      <c r="J343">
        <f>D343</f>
        <v/>
      </c>
      <c r="K343">
        <f>E343</f>
        <v/>
      </c>
      <c r="L343">
        <f>F343</f>
        <v/>
      </c>
      <c r="M343" s="11">
        <f>I343*K343</f>
        <v/>
      </c>
      <c r="N343" s="12">
        <f>LN(G343)</f>
        <v/>
      </c>
      <c r="O343" s="12">
        <f>H343*Beta_0+I343*Beta_1+J343*Beta_2+K343*Beta_3+L343*Beta_4+M343*Beta_5</f>
        <v/>
      </c>
      <c r="P343" s="12">
        <f>N343-O343</f>
        <v/>
      </c>
      <c r="Q343" s="13">
        <f>EXP(O343)*Smearing_Factor</f>
        <v/>
      </c>
    </row>
    <row r="344">
      <c r="A344" t="n">
        <v>343</v>
      </c>
      <c r="B344" t="inlineStr">
        <is>
          <t>Engineering, manufacturing and construction</t>
        </is>
      </c>
      <c r="C344" s="9" t="n">
        <v>3.4</v>
      </c>
      <c r="D344" t="n">
        <v>6</v>
      </c>
      <c r="E344" t="n">
        <v>1</v>
      </c>
      <c r="F344" t="n">
        <v>0</v>
      </c>
      <c r="G344" s="10" t="n">
        <v>2210</v>
      </c>
      <c r="H344" t="n">
        <v>1</v>
      </c>
      <c r="I344" s="11">
        <f>C344-CGPA_Mean</f>
        <v/>
      </c>
      <c r="J344">
        <f>D344</f>
        <v/>
      </c>
      <c r="K344">
        <f>E344</f>
        <v/>
      </c>
      <c r="L344">
        <f>F344</f>
        <v/>
      </c>
      <c r="M344" s="11">
        <f>I344*K344</f>
        <v/>
      </c>
      <c r="N344" s="12">
        <f>LN(G344)</f>
        <v/>
      </c>
      <c r="O344" s="12">
        <f>H344*Beta_0+I344*Beta_1+J344*Beta_2+K344*Beta_3+L344*Beta_4+M344*Beta_5</f>
        <v/>
      </c>
      <c r="P344" s="12">
        <f>N344-O344</f>
        <v/>
      </c>
      <c r="Q344" s="13">
        <f>EXP(O344)*Smearing_Factor</f>
        <v/>
      </c>
    </row>
    <row r="345">
      <c r="A345" t="n">
        <v>344</v>
      </c>
      <c r="B345" t="inlineStr">
        <is>
          <t>Natural sciences, mathematics and statistics</t>
        </is>
      </c>
      <c r="C345" s="9" t="n">
        <v>3.12</v>
      </c>
      <c r="D345" t="n">
        <v>6</v>
      </c>
      <c r="E345" t="n">
        <v>1</v>
      </c>
      <c r="F345" t="n">
        <v>0</v>
      </c>
      <c r="G345" s="10" t="n">
        <v>3400</v>
      </c>
      <c r="H345" t="n">
        <v>1</v>
      </c>
      <c r="I345" s="11">
        <f>C345-CGPA_Mean</f>
        <v/>
      </c>
      <c r="J345">
        <f>D345</f>
        <v/>
      </c>
      <c r="K345">
        <f>E345</f>
        <v/>
      </c>
      <c r="L345">
        <f>F345</f>
        <v/>
      </c>
      <c r="M345" s="11">
        <f>I345*K345</f>
        <v/>
      </c>
      <c r="N345" s="12">
        <f>LN(G345)</f>
        <v/>
      </c>
      <c r="O345" s="12">
        <f>H345*Beta_0+I345*Beta_1+J345*Beta_2+K345*Beta_3+L345*Beta_4+M345*Beta_5</f>
        <v/>
      </c>
      <c r="P345" s="12">
        <f>N345-O345</f>
        <v/>
      </c>
      <c r="Q345" s="13">
        <f>EXP(O345)*Smearing_Factor</f>
        <v/>
      </c>
    </row>
    <row r="346">
      <c r="A346" t="n">
        <v>345</v>
      </c>
      <c r="B346" t="inlineStr">
        <is>
          <t>Social sciences, journalism and information</t>
        </is>
      </c>
      <c r="C346" s="9" t="n">
        <v>3</v>
      </c>
      <c r="D346" t="n">
        <v>3</v>
      </c>
      <c r="E346" t="n">
        <v>0</v>
      </c>
      <c r="F346" t="n">
        <v>0</v>
      </c>
      <c r="G346" s="10" t="n">
        <v>2200</v>
      </c>
      <c r="H346" t="n">
        <v>1</v>
      </c>
      <c r="I346" s="11">
        <f>C346-CGPA_Mean</f>
        <v/>
      </c>
      <c r="J346">
        <f>D346</f>
        <v/>
      </c>
      <c r="K346">
        <f>E346</f>
        <v/>
      </c>
      <c r="L346">
        <f>F346</f>
        <v/>
      </c>
      <c r="M346" s="11">
        <f>I346*K346</f>
        <v/>
      </c>
      <c r="N346" s="12">
        <f>LN(G346)</f>
        <v/>
      </c>
      <c r="O346" s="12">
        <f>H346*Beta_0+I346*Beta_1+J346*Beta_2+K346*Beta_3+L346*Beta_4+M346*Beta_5</f>
        <v/>
      </c>
      <c r="P346" s="12">
        <f>N346-O346</f>
        <v/>
      </c>
      <c r="Q346" s="13">
        <f>EXP(O346)*Smearing_Factor</f>
        <v/>
      </c>
    </row>
    <row r="347">
      <c r="A347" t="n">
        <v>346</v>
      </c>
      <c r="B347" t="inlineStr">
        <is>
          <t>Business, administration and law</t>
        </is>
      </c>
      <c r="C347" s="9" t="n">
        <v>3.67</v>
      </c>
      <c r="D347" t="n">
        <v>6</v>
      </c>
      <c r="E347" t="n">
        <v>0</v>
      </c>
      <c r="F347" t="n">
        <v>1</v>
      </c>
      <c r="G347" s="10" t="n">
        <v>3910</v>
      </c>
      <c r="H347" t="n">
        <v>1</v>
      </c>
      <c r="I347" s="11">
        <f>C347-CGPA_Mean</f>
        <v/>
      </c>
      <c r="J347">
        <f>D347</f>
        <v/>
      </c>
      <c r="K347">
        <f>E347</f>
        <v/>
      </c>
      <c r="L347">
        <f>F347</f>
        <v/>
      </c>
      <c r="M347" s="11">
        <f>I347*K347</f>
        <v/>
      </c>
      <c r="N347" s="12">
        <f>LN(G347)</f>
        <v/>
      </c>
      <c r="O347" s="12">
        <f>H347*Beta_0+I347*Beta_1+J347*Beta_2+K347*Beta_3+L347*Beta_4+M347*Beta_5</f>
        <v/>
      </c>
      <c r="P347" s="12">
        <f>N347-O347</f>
        <v/>
      </c>
      <c r="Q347" s="13">
        <f>EXP(O347)*Smearing_Factor</f>
        <v/>
      </c>
    </row>
    <row r="348">
      <c r="A348" t="n">
        <v>347</v>
      </c>
      <c r="B348" t="inlineStr">
        <is>
          <t>Education</t>
        </is>
      </c>
      <c r="C348" s="9" t="n">
        <v>2.53</v>
      </c>
      <c r="D348" t="n">
        <v>3</v>
      </c>
      <c r="E348" t="n">
        <v>0</v>
      </c>
      <c r="F348" t="n">
        <v>0</v>
      </c>
      <c r="G348" s="10" t="n">
        <v>550</v>
      </c>
      <c r="H348" t="n">
        <v>1</v>
      </c>
      <c r="I348" s="11">
        <f>C348-CGPA_Mean</f>
        <v/>
      </c>
      <c r="J348">
        <f>D348</f>
        <v/>
      </c>
      <c r="K348">
        <f>E348</f>
        <v/>
      </c>
      <c r="L348">
        <f>F348</f>
        <v/>
      </c>
      <c r="M348" s="11">
        <f>I348*K348</f>
        <v/>
      </c>
      <c r="N348" s="12">
        <f>LN(G348)</f>
        <v/>
      </c>
      <c r="O348" s="12">
        <f>H348*Beta_0+I348*Beta_1+J348*Beta_2+K348*Beta_3+L348*Beta_4+M348*Beta_5</f>
        <v/>
      </c>
      <c r="P348" s="12">
        <f>N348-O348</f>
        <v/>
      </c>
      <c r="Q348" s="13">
        <f>EXP(O348)*Smearing_Factor</f>
        <v/>
      </c>
    </row>
    <row r="349">
      <c r="A349" t="n">
        <v>348</v>
      </c>
      <c r="B349" t="inlineStr">
        <is>
          <t>Social sciences, journalism and information</t>
        </is>
      </c>
      <c r="C349" s="9" t="n">
        <v>3.56</v>
      </c>
      <c r="D349" t="n">
        <v>6</v>
      </c>
      <c r="E349" t="n">
        <v>0</v>
      </c>
      <c r="F349" t="n">
        <v>0</v>
      </c>
      <c r="G349" s="10" t="n">
        <v>2620</v>
      </c>
      <c r="H349" t="n">
        <v>1</v>
      </c>
      <c r="I349" s="11">
        <f>C349-CGPA_Mean</f>
        <v/>
      </c>
      <c r="J349">
        <f>D349</f>
        <v/>
      </c>
      <c r="K349">
        <f>E349</f>
        <v/>
      </c>
      <c r="L349">
        <f>F349</f>
        <v/>
      </c>
      <c r="M349" s="11">
        <f>I349*K349</f>
        <v/>
      </c>
      <c r="N349" s="12">
        <f>LN(G349)</f>
        <v/>
      </c>
      <c r="O349" s="12">
        <f>H349*Beta_0+I349*Beta_1+J349*Beta_2+K349*Beta_3+L349*Beta_4+M349*Beta_5</f>
        <v/>
      </c>
      <c r="P349" s="12">
        <f>N349-O349</f>
        <v/>
      </c>
      <c r="Q349" s="13">
        <f>EXP(O349)*Smearing_Factor</f>
        <v/>
      </c>
    </row>
    <row r="350">
      <c r="A350" t="n">
        <v>349</v>
      </c>
      <c r="B350" t="inlineStr">
        <is>
          <t>Engineering, manufacturing and construction</t>
        </is>
      </c>
      <c r="C350" s="9" t="n">
        <v>3.18</v>
      </c>
      <c r="D350" t="n">
        <v>6</v>
      </c>
      <c r="E350" t="n">
        <v>1</v>
      </c>
      <c r="F350" t="n">
        <v>1</v>
      </c>
      <c r="G350" s="10" t="n">
        <v>4430</v>
      </c>
      <c r="H350" t="n">
        <v>1</v>
      </c>
      <c r="I350" s="11">
        <f>C350-CGPA_Mean</f>
        <v/>
      </c>
      <c r="J350">
        <f>D350</f>
        <v/>
      </c>
      <c r="K350">
        <f>E350</f>
        <v/>
      </c>
      <c r="L350">
        <f>F350</f>
        <v/>
      </c>
      <c r="M350" s="11">
        <f>I350*K350</f>
        <v/>
      </c>
      <c r="N350" s="12">
        <f>LN(G350)</f>
        <v/>
      </c>
      <c r="O350" s="12">
        <f>H350*Beta_0+I350*Beta_1+J350*Beta_2+K350*Beta_3+L350*Beta_4+M350*Beta_5</f>
        <v/>
      </c>
      <c r="P350" s="12">
        <f>N350-O350</f>
        <v/>
      </c>
      <c r="Q350" s="13">
        <f>EXP(O350)*Smearing_Factor</f>
        <v/>
      </c>
    </row>
    <row r="351">
      <c r="A351" t="n">
        <v>350</v>
      </c>
      <c r="B351" t="inlineStr">
        <is>
          <t>Business, administration and law</t>
        </is>
      </c>
      <c r="C351" s="9" t="n">
        <v>3.55</v>
      </c>
      <c r="D351" t="n">
        <v>6</v>
      </c>
      <c r="E351" t="n">
        <v>0</v>
      </c>
      <c r="F351" t="n">
        <v>1</v>
      </c>
      <c r="G351" s="10" t="n">
        <v>2890</v>
      </c>
      <c r="H351" t="n">
        <v>1</v>
      </c>
      <c r="I351" s="11">
        <f>C351-CGPA_Mean</f>
        <v/>
      </c>
      <c r="J351">
        <f>D351</f>
        <v/>
      </c>
      <c r="K351">
        <f>E351</f>
        <v/>
      </c>
      <c r="L351">
        <f>F351</f>
        <v/>
      </c>
      <c r="M351" s="11">
        <f>I351*K351</f>
        <v/>
      </c>
      <c r="N351" s="12">
        <f>LN(G351)</f>
        <v/>
      </c>
      <c r="O351" s="12">
        <f>H351*Beta_0+I351*Beta_1+J351*Beta_2+K351*Beta_3+L351*Beta_4+M351*Beta_5</f>
        <v/>
      </c>
      <c r="P351" s="12">
        <f>N351-O351</f>
        <v/>
      </c>
      <c r="Q351" s="13">
        <f>EXP(O351)*Smearing_Factor</f>
        <v/>
      </c>
    </row>
    <row r="352">
      <c r="A352" t="n">
        <v>351</v>
      </c>
      <c r="B352" t="inlineStr">
        <is>
          <t>Health and welfare</t>
        </is>
      </c>
      <c r="C352" s="9" t="n">
        <v>3.25</v>
      </c>
      <c r="D352" t="n">
        <v>6</v>
      </c>
      <c r="E352" t="n">
        <v>0</v>
      </c>
      <c r="F352" t="n">
        <v>0</v>
      </c>
      <c r="G352" s="10" t="n">
        <v>3160</v>
      </c>
      <c r="H352" t="n">
        <v>1</v>
      </c>
      <c r="I352" s="11">
        <f>C352-CGPA_Mean</f>
        <v/>
      </c>
      <c r="J352">
        <f>D352</f>
        <v/>
      </c>
      <c r="K352">
        <f>E352</f>
        <v/>
      </c>
      <c r="L352">
        <f>F352</f>
        <v/>
      </c>
      <c r="M352" s="11">
        <f>I352*K352</f>
        <v/>
      </c>
      <c r="N352" s="12">
        <f>LN(G352)</f>
        <v/>
      </c>
      <c r="O352" s="12">
        <f>H352*Beta_0+I352*Beta_1+J352*Beta_2+K352*Beta_3+L352*Beta_4+M352*Beta_5</f>
        <v/>
      </c>
      <c r="P352" s="12">
        <f>N352-O352</f>
        <v/>
      </c>
      <c r="Q352" s="13">
        <f>EXP(O352)*Smearing_Factor</f>
        <v/>
      </c>
    </row>
    <row r="353">
      <c r="A353" t="n">
        <v>352</v>
      </c>
      <c r="B353" t="inlineStr">
        <is>
          <t>Engineering, manufacturing and construction</t>
        </is>
      </c>
      <c r="C353" s="9" t="n">
        <v>3.93</v>
      </c>
      <c r="D353" t="n">
        <v>3</v>
      </c>
      <c r="E353" t="n">
        <v>1</v>
      </c>
      <c r="F353" t="n">
        <v>0</v>
      </c>
      <c r="G353" s="10" t="n">
        <v>2660</v>
      </c>
      <c r="H353" t="n">
        <v>1</v>
      </c>
      <c r="I353" s="11">
        <f>C353-CGPA_Mean</f>
        <v/>
      </c>
      <c r="J353">
        <f>D353</f>
        <v/>
      </c>
      <c r="K353">
        <f>E353</f>
        <v/>
      </c>
      <c r="L353">
        <f>F353</f>
        <v/>
      </c>
      <c r="M353" s="11">
        <f>I353*K353</f>
        <v/>
      </c>
      <c r="N353" s="12">
        <f>LN(G353)</f>
        <v/>
      </c>
      <c r="O353" s="12">
        <f>H353*Beta_0+I353*Beta_1+J353*Beta_2+K353*Beta_3+L353*Beta_4+M353*Beta_5</f>
        <v/>
      </c>
      <c r="P353" s="12">
        <f>N353-O353</f>
        <v/>
      </c>
      <c r="Q353" s="13">
        <f>EXP(O353)*Smearing_Factor</f>
        <v/>
      </c>
    </row>
    <row r="354">
      <c r="A354" t="n">
        <v>353</v>
      </c>
      <c r="B354" t="inlineStr">
        <is>
          <t>Business, administration and law</t>
        </is>
      </c>
      <c r="C354" s="9" t="n">
        <v>2.98</v>
      </c>
      <c r="D354" t="n">
        <v>9</v>
      </c>
      <c r="E354" t="n">
        <v>0</v>
      </c>
      <c r="F354" t="n">
        <v>1</v>
      </c>
      <c r="G354" s="10" t="n">
        <v>3930</v>
      </c>
      <c r="H354" t="n">
        <v>1</v>
      </c>
      <c r="I354" s="11">
        <f>C354-CGPA_Mean</f>
        <v/>
      </c>
      <c r="J354">
        <f>D354</f>
        <v/>
      </c>
      <c r="K354">
        <f>E354</f>
        <v/>
      </c>
      <c r="L354">
        <f>F354</f>
        <v/>
      </c>
      <c r="M354" s="11">
        <f>I354*K354</f>
        <v/>
      </c>
      <c r="N354" s="12">
        <f>LN(G354)</f>
        <v/>
      </c>
      <c r="O354" s="12">
        <f>H354*Beta_0+I354*Beta_1+J354*Beta_2+K354*Beta_3+L354*Beta_4+M354*Beta_5</f>
        <v/>
      </c>
      <c r="P354" s="12">
        <f>N354-O354</f>
        <v/>
      </c>
      <c r="Q354" s="13">
        <f>EXP(O354)*Smearing_Factor</f>
        <v/>
      </c>
    </row>
    <row r="355">
      <c r="A355" t="n">
        <v>354</v>
      </c>
      <c r="B355" t="inlineStr">
        <is>
          <t>Business, administration and law</t>
        </is>
      </c>
      <c r="C355" s="9" t="n">
        <v>3.22</v>
      </c>
      <c r="D355" t="n">
        <v>6</v>
      </c>
      <c r="E355" t="n">
        <v>0</v>
      </c>
      <c r="F355" t="n">
        <v>0</v>
      </c>
      <c r="G355" s="10" t="n">
        <v>1790</v>
      </c>
      <c r="H355" t="n">
        <v>1</v>
      </c>
      <c r="I355" s="11">
        <f>C355-CGPA_Mean</f>
        <v/>
      </c>
      <c r="J355">
        <f>D355</f>
        <v/>
      </c>
      <c r="K355">
        <f>E355</f>
        <v/>
      </c>
      <c r="L355">
        <f>F355</f>
        <v/>
      </c>
      <c r="M355" s="11">
        <f>I355*K355</f>
        <v/>
      </c>
      <c r="N355" s="12">
        <f>LN(G355)</f>
        <v/>
      </c>
      <c r="O355" s="12">
        <f>H355*Beta_0+I355*Beta_1+J355*Beta_2+K355*Beta_3+L355*Beta_4+M355*Beta_5</f>
        <v/>
      </c>
      <c r="P355" s="12">
        <f>N355-O355</f>
        <v/>
      </c>
      <c r="Q355" s="13">
        <f>EXP(O355)*Smearing_Factor</f>
        <v/>
      </c>
    </row>
    <row r="356">
      <c r="A356" t="n">
        <v>355</v>
      </c>
      <c r="B356" t="inlineStr">
        <is>
          <t>Natural sciences, mathematics and statistics</t>
        </is>
      </c>
      <c r="C356" s="9" t="n">
        <v>2.85</v>
      </c>
      <c r="D356" t="n">
        <v>6</v>
      </c>
      <c r="E356" t="n">
        <v>1</v>
      </c>
      <c r="F356" t="n">
        <v>0</v>
      </c>
      <c r="G356" s="10" t="n">
        <v>2870</v>
      </c>
      <c r="H356" t="n">
        <v>1</v>
      </c>
      <c r="I356" s="11">
        <f>C356-CGPA_Mean</f>
        <v/>
      </c>
      <c r="J356">
        <f>D356</f>
        <v/>
      </c>
      <c r="K356">
        <f>E356</f>
        <v/>
      </c>
      <c r="L356">
        <f>F356</f>
        <v/>
      </c>
      <c r="M356" s="11">
        <f>I356*K356</f>
        <v/>
      </c>
      <c r="N356" s="12">
        <f>LN(G356)</f>
        <v/>
      </c>
      <c r="O356" s="12">
        <f>H356*Beta_0+I356*Beta_1+J356*Beta_2+K356*Beta_3+L356*Beta_4+M356*Beta_5</f>
        <v/>
      </c>
      <c r="P356" s="12">
        <f>N356-O356</f>
        <v/>
      </c>
      <c r="Q356" s="13">
        <f>EXP(O356)*Smearing_Factor</f>
        <v/>
      </c>
    </row>
    <row r="357">
      <c r="A357" t="n">
        <v>356</v>
      </c>
      <c r="B357" t="inlineStr">
        <is>
          <t>Engineering, manufacturing and construction</t>
        </is>
      </c>
      <c r="C357" s="9" t="n">
        <v>3.12</v>
      </c>
      <c r="D357" t="n">
        <v>6</v>
      </c>
      <c r="E357" t="n">
        <v>1</v>
      </c>
      <c r="F357" t="n">
        <v>1</v>
      </c>
      <c r="G357" s="10" t="n">
        <v>2420</v>
      </c>
      <c r="H357" t="n">
        <v>1</v>
      </c>
      <c r="I357" s="11">
        <f>C357-CGPA_Mean</f>
        <v/>
      </c>
      <c r="J357">
        <f>D357</f>
        <v/>
      </c>
      <c r="K357">
        <f>E357</f>
        <v/>
      </c>
      <c r="L357">
        <f>F357</f>
        <v/>
      </c>
      <c r="M357" s="11">
        <f>I357*K357</f>
        <v/>
      </c>
      <c r="N357" s="12">
        <f>LN(G357)</f>
        <v/>
      </c>
      <c r="O357" s="12">
        <f>H357*Beta_0+I357*Beta_1+J357*Beta_2+K357*Beta_3+L357*Beta_4+M357*Beta_5</f>
        <v/>
      </c>
      <c r="P357" s="12">
        <f>N357-O357</f>
        <v/>
      </c>
      <c r="Q357" s="13">
        <f>EXP(O357)*Smearing_Factor</f>
        <v/>
      </c>
    </row>
    <row r="358">
      <c r="A358" t="n">
        <v>357</v>
      </c>
      <c r="B358" t="inlineStr">
        <is>
          <t>Engineering, manufacturing and construction</t>
        </is>
      </c>
      <c r="C358" s="9" t="n">
        <v>2.79</v>
      </c>
      <c r="D358" t="n">
        <v>3</v>
      </c>
      <c r="E358" t="n">
        <v>1</v>
      </c>
      <c r="F358" t="n">
        <v>0</v>
      </c>
      <c r="G358" s="10" t="n">
        <v>1160</v>
      </c>
      <c r="H358" t="n">
        <v>1</v>
      </c>
      <c r="I358" s="11">
        <f>C358-CGPA_Mean</f>
        <v/>
      </c>
      <c r="J358">
        <f>D358</f>
        <v/>
      </c>
      <c r="K358">
        <f>E358</f>
        <v/>
      </c>
      <c r="L358">
        <f>F358</f>
        <v/>
      </c>
      <c r="M358" s="11">
        <f>I358*K358</f>
        <v/>
      </c>
      <c r="N358" s="12">
        <f>LN(G358)</f>
        <v/>
      </c>
      <c r="O358" s="12">
        <f>H358*Beta_0+I358*Beta_1+J358*Beta_2+K358*Beta_3+L358*Beta_4+M358*Beta_5</f>
        <v/>
      </c>
      <c r="P358" s="12">
        <f>N358-O358</f>
        <v/>
      </c>
      <c r="Q358" s="13">
        <f>EXP(O358)*Smearing_Factor</f>
        <v/>
      </c>
    </row>
    <row r="359">
      <c r="A359" t="n">
        <v>358</v>
      </c>
      <c r="B359" t="inlineStr">
        <is>
          <t>Engineering, manufacturing and construction</t>
        </is>
      </c>
      <c r="C359" s="9" t="n">
        <v>3.03</v>
      </c>
      <c r="D359" t="n">
        <v>9</v>
      </c>
      <c r="E359" t="n">
        <v>1</v>
      </c>
      <c r="F359" t="n">
        <v>1</v>
      </c>
      <c r="G359" s="10" t="n">
        <v>8520</v>
      </c>
      <c r="H359" t="n">
        <v>1</v>
      </c>
      <c r="I359" s="11">
        <f>C359-CGPA_Mean</f>
        <v/>
      </c>
      <c r="J359">
        <f>D359</f>
        <v/>
      </c>
      <c r="K359">
        <f>E359</f>
        <v/>
      </c>
      <c r="L359">
        <f>F359</f>
        <v/>
      </c>
      <c r="M359" s="11">
        <f>I359*K359</f>
        <v/>
      </c>
      <c r="N359" s="12">
        <f>LN(G359)</f>
        <v/>
      </c>
      <c r="O359" s="12">
        <f>H359*Beta_0+I359*Beta_1+J359*Beta_2+K359*Beta_3+L359*Beta_4+M359*Beta_5</f>
        <v/>
      </c>
      <c r="P359" s="12">
        <f>N359-O359</f>
        <v/>
      </c>
      <c r="Q359" s="13">
        <f>EXP(O359)*Smearing_Factor</f>
        <v/>
      </c>
    </row>
    <row r="360">
      <c r="A360" t="n">
        <v>359</v>
      </c>
      <c r="B360" t="inlineStr">
        <is>
          <t>Information and communication technologies</t>
        </is>
      </c>
      <c r="C360" s="9" t="n">
        <v>2.91</v>
      </c>
      <c r="D360" t="n">
        <v>3</v>
      </c>
      <c r="E360" t="n">
        <v>1</v>
      </c>
      <c r="F360" t="n">
        <v>1</v>
      </c>
      <c r="G360" s="10" t="n">
        <v>2300</v>
      </c>
      <c r="H360" t="n">
        <v>1</v>
      </c>
      <c r="I360" s="11">
        <f>C360-CGPA_Mean</f>
        <v/>
      </c>
      <c r="J360">
        <f>D360</f>
        <v/>
      </c>
      <c r="K360">
        <f>E360</f>
        <v/>
      </c>
      <c r="L360">
        <f>F360</f>
        <v/>
      </c>
      <c r="M360" s="11">
        <f>I360*K360</f>
        <v/>
      </c>
      <c r="N360" s="12">
        <f>LN(G360)</f>
        <v/>
      </c>
      <c r="O360" s="12">
        <f>H360*Beta_0+I360*Beta_1+J360*Beta_2+K360*Beta_3+L360*Beta_4+M360*Beta_5</f>
        <v/>
      </c>
      <c r="P360" s="12">
        <f>N360-O360</f>
        <v/>
      </c>
      <c r="Q360" s="13">
        <f>EXP(O360)*Smearing_Factor</f>
        <v/>
      </c>
    </row>
    <row r="361">
      <c r="A361" t="n">
        <v>360</v>
      </c>
      <c r="B361" t="inlineStr">
        <is>
          <t>Business, administration and law</t>
        </is>
      </c>
      <c r="C361" s="9" t="n">
        <v>3.52</v>
      </c>
      <c r="D361" t="n">
        <v>9</v>
      </c>
      <c r="E361" t="n">
        <v>0</v>
      </c>
      <c r="F361" t="n">
        <v>0</v>
      </c>
      <c r="G361" s="10" t="n">
        <v>2930</v>
      </c>
      <c r="H361" t="n">
        <v>1</v>
      </c>
      <c r="I361" s="11">
        <f>C361-CGPA_Mean</f>
        <v/>
      </c>
      <c r="J361">
        <f>D361</f>
        <v/>
      </c>
      <c r="K361">
        <f>E361</f>
        <v/>
      </c>
      <c r="L361">
        <f>F361</f>
        <v/>
      </c>
      <c r="M361" s="11">
        <f>I361*K361</f>
        <v/>
      </c>
      <c r="N361" s="12">
        <f>LN(G361)</f>
        <v/>
      </c>
      <c r="O361" s="12">
        <f>H361*Beta_0+I361*Beta_1+J361*Beta_2+K361*Beta_3+L361*Beta_4+M361*Beta_5</f>
        <v/>
      </c>
      <c r="P361" s="12">
        <f>N361-O361</f>
        <v/>
      </c>
      <c r="Q361" s="13">
        <f>EXP(O361)*Smearing_Factor</f>
        <v/>
      </c>
    </row>
    <row r="362">
      <c r="A362" t="n">
        <v>361</v>
      </c>
      <c r="B362" t="inlineStr">
        <is>
          <t>Business, administration and law</t>
        </is>
      </c>
      <c r="C362" s="9" t="n">
        <v>3.63</v>
      </c>
      <c r="D362" t="n">
        <v>3</v>
      </c>
      <c r="E362" t="n">
        <v>0</v>
      </c>
      <c r="F362" t="n">
        <v>0</v>
      </c>
      <c r="G362" s="10" t="n">
        <v>2240</v>
      </c>
      <c r="H362" t="n">
        <v>1</v>
      </c>
      <c r="I362" s="11">
        <f>C362-CGPA_Mean</f>
        <v/>
      </c>
      <c r="J362">
        <f>D362</f>
        <v/>
      </c>
      <c r="K362">
        <f>E362</f>
        <v/>
      </c>
      <c r="L362">
        <f>F362</f>
        <v/>
      </c>
      <c r="M362" s="11">
        <f>I362*K362</f>
        <v/>
      </c>
      <c r="N362" s="12">
        <f>LN(G362)</f>
        <v/>
      </c>
      <c r="O362" s="12">
        <f>H362*Beta_0+I362*Beta_1+J362*Beta_2+K362*Beta_3+L362*Beta_4+M362*Beta_5</f>
        <v/>
      </c>
      <c r="P362" s="12">
        <f>N362-O362</f>
        <v/>
      </c>
      <c r="Q362" s="13">
        <f>EXP(O362)*Smearing_Factor</f>
        <v/>
      </c>
    </row>
    <row r="363">
      <c r="A363" t="n">
        <v>362</v>
      </c>
      <c r="B363" t="inlineStr">
        <is>
          <t>Services</t>
        </is>
      </c>
      <c r="C363" s="9" t="n">
        <v>2.95</v>
      </c>
      <c r="D363" t="n">
        <v>9</v>
      </c>
      <c r="E363" t="n">
        <v>0</v>
      </c>
      <c r="F363" t="n">
        <v>0</v>
      </c>
      <c r="G363" s="10" t="n">
        <v>1900</v>
      </c>
      <c r="H363" t="n">
        <v>1</v>
      </c>
      <c r="I363" s="11">
        <f>C363-CGPA_Mean</f>
        <v/>
      </c>
      <c r="J363">
        <f>D363</f>
        <v/>
      </c>
      <c r="K363">
        <f>E363</f>
        <v/>
      </c>
      <c r="L363">
        <f>F363</f>
        <v/>
      </c>
      <c r="M363" s="11">
        <f>I363*K363</f>
        <v/>
      </c>
      <c r="N363" s="12">
        <f>LN(G363)</f>
        <v/>
      </c>
      <c r="O363" s="12">
        <f>H363*Beta_0+I363*Beta_1+J363*Beta_2+K363*Beta_3+L363*Beta_4+M363*Beta_5</f>
        <v/>
      </c>
      <c r="P363" s="12">
        <f>N363-O363</f>
        <v/>
      </c>
      <c r="Q363" s="13">
        <f>EXP(O363)*Smearing_Factor</f>
        <v/>
      </c>
    </row>
    <row r="364">
      <c r="A364" t="n">
        <v>363</v>
      </c>
      <c r="B364" t="inlineStr">
        <is>
          <t>Education</t>
        </is>
      </c>
      <c r="C364" s="9" t="n">
        <v>3.02</v>
      </c>
      <c r="D364" t="n">
        <v>3</v>
      </c>
      <c r="E364" t="n">
        <v>0</v>
      </c>
      <c r="F364" t="n">
        <v>1</v>
      </c>
      <c r="G364" s="10" t="n">
        <v>950</v>
      </c>
      <c r="H364" t="n">
        <v>1</v>
      </c>
      <c r="I364" s="11">
        <f>C364-CGPA_Mean</f>
        <v/>
      </c>
      <c r="J364">
        <f>D364</f>
        <v/>
      </c>
      <c r="K364">
        <f>E364</f>
        <v/>
      </c>
      <c r="L364">
        <f>F364</f>
        <v/>
      </c>
      <c r="M364" s="11">
        <f>I364*K364</f>
        <v/>
      </c>
      <c r="N364" s="12">
        <f>LN(G364)</f>
        <v/>
      </c>
      <c r="O364" s="12">
        <f>H364*Beta_0+I364*Beta_1+J364*Beta_2+K364*Beta_3+L364*Beta_4+M364*Beta_5</f>
        <v/>
      </c>
      <c r="P364" s="12">
        <f>N364-O364</f>
        <v/>
      </c>
      <c r="Q364" s="13">
        <f>EXP(O364)*Smearing_Factor</f>
        <v/>
      </c>
    </row>
    <row r="365">
      <c r="A365" t="n">
        <v>364</v>
      </c>
      <c r="B365" t="inlineStr">
        <is>
          <t>Business, administration and law</t>
        </is>
      </c>
      <c r="C365" s="9" t="n">
        <v>3.63</v>
      </c>
      <c r="D365" t="n">
        <v>6</v>
      </c>
      <c r="E365" t="n">
        <v>0</v>
      </c>
      <c r="F365" t="n">
        <v>1</v>
      </c>
      <c r="G365" s="10" t="n">
        <v>3910</v>
      </c>
      <c r="H365" t="n">
        <v>1</v>
      </c>
      <c r="I365" s="11">
        <f>C365-CGPA_Mean</f>
        <v/>
      </c>
      <c r="J365">
        <f>D365</f>
        <v/>
      </c>
      <c r="K365">
        <f>E365</f>
        <v/>
      </c>
      <c r="L365">
        <f>F365</f>
        <v/>
      </c>
      <c r="M365" s="11">
        <f>I365*K365</f>
        <v/>
      </c>
      <c r="N365" s="12">
        <f>LN(G365)</f>
        <v/>
      </c>
      <c r="O365" s="12">
        <f>H365*Beta_0+I365*Beta_1+J365*Beta_2+K365*Beta_3+L365*Beta_4+M365*Beta_5</f>
        <v/>
      </c>
      <c r="P365" s="12">
        <f>N365-O365</f>
        <v/>
      </c>
      <c r="Q365" s="13">
        <f>EXP(O365)*Smearing_Factor</f>
        <v/>
      </c>
    </row>
    <row r="366">
      <c r="A366" t="n">
        <v>365</v>
      </c>
      <c r="B366" t="inlineStr">
        <is>
          <t>Business, administration and law</t>
        </is>
      </c>
      <c r="C366" s="9" t="n">
        <v>3.77</v>
      </c>
      <c r="D366" t="n">
        <v>3</v>
      </c>
      <c r="E366" t="n">
        <v>0</v>
      </c>
      <c r="F366" t="n">
        <v>0</v>
      </c>
      <c r="G366" s="10" t="n">
        <v>4020</v>
      </c>
      <c r="H366" t="n">
        <v>1</v>
      </c>
      <c r="I366" s="11">
        <f>C366-CGPA_Mean</f>
        <v/>
      </c>
      <c r="J366">
        <f>D366</f>
        <v/>
      </c>
      <c r="K366">
        <f>E366</f>
        <v/>
      </c>
      <c r="L366">
        <f>F366</f>
        <v/>
      </c>
      <c r="M366" s="11">
        <f>I366*K366</f>
        <v/>
      </c>
      <c r="N366" s="12">
        <f>LN(G366)</f>
        <v/>
      </c>
      <c r="O366" s="12">
        <f>H366*Beta_0+I366*Beta_1+J366*Beta_2+K366*Beta_3+L366*Beta_4+M366*Beta_5</f>
        <v/>
      </c>
      <c r="P366" s="12">
        <f>N366-O366</f>
        <v/>
      </c>
      <c r="Q366" s="13">
        <f>EXP(O366)*Smearing_Factor</f>
        <v/>
      </c>
    </row>
    <row r="367">
      <c r="A367" t="n">
        <v>366</v>
      </c>
      <c r="B367" t="inlineStr">
        <is>
          <t>Business, administration and law</t>
        </is>
      </c>
      <c r="C367" s="9" t="n">
        <v>3.66</v>
      </c>
      <c r="D367" t="n">
        <v>3</v>
      </c>
      <c r="E367" t="n">
        <v>0</v>
      </c>
      <c r="F367" t="n">
        <v>1</v>
      </c>
      <c r="G367" s="10" t="n">
        <v>2520</v>
      </c>
      <c r="H367" t="n">
        <v>1</v>
      </c>
      <c r="I367" s="11">
        <f>C367-CGPA_Mean</f>
        <v/>
      </c>
      <c r="J367">
        <f>D367</f>
        <v/>
      </c>
      <c r="K367">
        <f>E367</f>
        <v/>
      </c>
      <c r="L367">
        <f>F367</f>
        <v/>
      </c>
      <c r="M367" s="11">
        <f>I367*K367</f>
        <v/>
      </c>
      <c r="N367" s="12">
        <f>LN(G367)</f>
        <v/>
      </c>
      <c r="O367" s="12">
        <f>H367*Beta_0+I367*Beta_1+J367*Beta_2+K367*Beta_3+L367*Beta_4+M367*Beta_5</f>
        <v/>
      </c>
      <c r="P367" s="12">
        <f>N367-O367</f>
        <v/>
      </c>
      <c r="Q367" s="13">
        <f>EXP(O367)*Smearing_Factor</f>
        <v/>
      </c>
    </row>
    <row r="368">
      <c r="A368" t="n">
        <v>367</v>
      </c>
      <c r="B368" t="inlineStr">
        <is>
          <t>Social sciences, journalism and information</t>
        </is>
      </c>
      <c r="C368" s="9" t="n">
        <v>3.28</v>
      </c>
      <c r="D368" t="n">
        <v>3</v>
      </c>
      <c r="E368" t="n">
        <v>0</v>
      </c>
      <c r="F368" t="n">
        <v>0</v>
      </c>
      <c r="G368" s="10" t="n">
        <v>2780</v>
      </c>
      <c r="H368" t="n">
        <v>1</v>
      </c>
      <c r="I368" s="11">
        <f>C368-CGPA_Mean</f>
        <v/>
      </c>
      <c r="J368">
        <f>D368</f>
        <v/>
      </c>
      <c r="K368">
        <f>E368</f>
        <v/>
      </c>
      <c r="L368">
        <f>F368</f>
        <v/>
      </c>
      <c r="M368" s="11">
        <f>I368*K368</f>
        <v/>
      </c>
      <c r="N368" s="12">
        <f>LN(G368)</f>
        <v/>
      </c>
      <c r="O368" s="12">
        <f>H368*Beta_0+I368*Beta_1+J368*Beta_2+K368*Beta_3+L368*Beta_4+M368*Beta_5</f>
        <v/>
      </c>
      <c r="P368" s="12">
        <f>N368-O368</f>
        <v/>
      </c>
      <c r="Q368" s="13">
        <f>EXP(O368)*Smearing_Factor</f>
        <v/>
      </c>
    </row>
    <row r="369">
      <c r="A369" t="n">
        <v>368</v>
      </c>
      <c r="B369" t="inlineStr">
        <is>
          <t>Education</t>
        </is>
      </c>
      <c r="C369" s="9" t="n">
        <v>3.81</v>
      </c>
      <c r="D369" t="n">
        <v>3</v>
      </c>
      <c r="E369" t="n">
        <v>0</v>
      </c>
      <c r="F369" t="n">
        <v>0</v>
      </c>
      <c r="G369" s="10" t="n">
        <v>3420</v>
      </c>
      <c r="H369" t="n">
        <v>1</v>
      </c>
      <c r="I369" s="11">
        <f>C369-CGPA_Mean</f>
        <v/>
      </c>
      <c r="J369">
        <f>D369</f>
        <v/>
      </c>
      <c r="K369">
        <f>E369</f>
        <v/>
      </c>
      <c r="L369">
        <f>F369</f>
        <v/>
      </c>
      <c r="M369" s="11">
        <f>I369*K369</f>
        <v/>
      </c>
      <c r="N369" s="12">
        <f>LN(G369)</f>
        <v/>
      </c>
      <c r="O369" s="12">
        <f>H369*Beta_0+I369*Beta_1+J369*Beta_2+K369*Beta_3+L369*Beta_4+M369*Beta_5</f>
        <v/>
      </c>
      <c r="P369" s="12">
        <f>N369-O369</f>
        <v/>
      </c>
      <c r="Q369" s="13">
        <f>EXP(O369)*Smearing_Factor</f>
        <v/>
      </c>
    </row>
    <row r="370">
      <c r="A370" t="n">
        <v>369</v>
      </c>
      <c r="B370" t="inlineStr">
        <is>
          <t>Natural sciences, mathematics and statistics</t>
        </is>
      </c>
      <c r="C370" s="9" t="n">
        <v>3.22</v>
      </c>
      <c r="D370" t="n">
        <v>6</v>
      </c>
      <c r="E370" t="n">
        <v>1</v>
      </c>
      <c r="F370" t="n">
        <v>0</v>
      </c>
      <c r="G370" s="10" t="n">
        <v>1870</v>
      </c>
      <c r="H370" t="n">
        <v>1</v>
      </c>
      <c r="I370" s="11">
        <f>C370-CGPA_Mean</f>
        <v/>
      </c>
      <c r="J370">
        <f>D370</f>
        <v/>
      </c>
      <c r="K370">
        <f>E370</f>
        <v/>
      </c>
      <c r="L370">
        <f>F370</f>
        <v/>
      </c>
      <c r="M370" s="11">
        <f>I370*K370</f>
        <v/>
      </c>
      <c r="N370" s="12">
        <f>LN(G370)</f>
        <v/>
      </c>
      <c r="O370" s="12">
        <f>H370*Beta_0+I370*Beta_1+J370*Beta_2+K370*Beta_3+L370*Beta_4+M370*Beta_5</f>
        <v/>
      </c>
      <c r="P370" s="12">
        <f>N370-O370</f>
        <v/>
      </c>
      <c r="Q370" s="13">
        <f>EXP(O370)*Smearing_Factor</f>
        <v/>
      </c>
    </row>
    <row r="371">
      <c r="A371" t="n">
        <v>370</v>
      </c>
      <c r="B371" t="inlineStr">
        <is>
          <t>Agriculture, forestry, fisheries and veterinary</t>
        </is>
      </c>
      <c r="C371" s="9" t="n">
        <v>3.23</v>
      </c>
      <c r="D371" t="n">
        <v>9</v>
      </c>
      <c r="E371" t="n">
        <v>0</v>
      </c>
      <c r="F371" t="n">
        <v>1</v>
      </c>
      <c r="G371" s="10" t="n">
        <v>1790</v>
      </c>
      <c r="H371" t="n">
        <v>1</v>
      </c>
      <c r="I371" s="11">
        <f>C371-CGPA_Mean</f>
        <v/>
      </c>
      <c r="J371">
        <f>D371</f>
        <v/>
      </c>
      <c r="K371">
        <f>E371</f>
        <v/>
      </c>
      <c r="L371">
        <f>F371</f>
        <v/>
      </c>
      <c r="M371" s="11">
        <f>I371*K371</f>
        <v/>
      </c>
      <c r="N371" s="12">
        <f>LN(G371)</f>
        <v/>
      </c>
      <c r="O371" s="12">
        <f>H371*Beta_0+I371*Beta_1+J371*Beta_2+K371*Beta_3+L371*Beta_4+M371*Beta_5</f>
        <v/>
      </c>
      <c r="P371" s="12">
        <f>N371-O371</f>
        <v/>
      </c>
      <c r="Q371" s="13">
        <f>EXP(O371)*Smearing_Factor</f>
        <v/>
      </c>
    </row>
    <row r="372">
      <c r="A372" t="n">
        <v>371</v>
      </c>
      <c r="B372" t="inlineStr">
        <is>
          <t>Business, administration and law</t>
        </is>
      </c>
      <c r="C372" s="9" t="n">
        <v>3.06</v>
      </c>
      <c r="D372" t="n">
        <v>3</v>
      </c>
      <c r="E372" t="n">
        <v>0</v>
      </c>
      <c r="F372" t="n">
        <v>0</v>
      </c>
      <c r="G372" s="10" t="n">
        <v>3860</v>
      </c>
      <c r="H372" t="n">
        <v>1</v>
      </c>
      <c r="I372" s="11">
        <f>C372-CGPA_Mean</f>
        <v/>
      </c>
      <c r="J372">
        <f>D372</f>
        <v/>
      </c>
      <c r="K372">
        <f>E372</f>
        <v/>
      </c>
      <c r="L372">
        <f>F372</f>
        <v/>
      </c>
      <c r="M372" s="11">
        <f>I372*K372</f>
        <v/>
      </c>
      <c r="N372" s="12">
        <f>LN(G372)</f>
        <v/>
      </c>
      <c r="O372" s="12">
        <f>H372*Beta_0+I372*Beta_1+J372*Beta_2+K372*Beta_3+L372*Beta_4+M372*Beta_5</f>
        <v/>
      </c>
      <c r="P372" s="12">
        <f>N372-O372</f>
        <v/>
      </c>
      <c r="Q372" s="13">
        <f>EXP(O372)*Smearing_Factor</f>
        <v/>
      </c>
    </row>
    <row r="373">
      <c r="A373" t="n">
        <v>372</v>
      </c>
      <c r="B373" t="inlineStr">
        <is>
          <t>Information and communication technologies</t>
        </is>
      </c>
      <c r="C373" s="9" t="n">
        <v>3</v>
      </c>
      <c r="D373" t="n">
        <v>6</v>
      </c>
      <c r="E373" t="n">
        <v>1</v>
      </c>
      <c r="F373" t="n">
        <v>1</v>
      </c>
      <c r="G373" s="10" t="n">
        <v>4420</v>
      </c>
      <c r="H373" t="n">
        <v>1</v>
      </c>
      <c r="I373" s="11">
        <f>C373-CGPA_Mean</f>
        <v/>
      </c>
      <c r="J373">
        <f>D373</f>
        <v/>
      </c>
      <c r="K373">
        <f>E373</f>
        <v/>
      </c>
      <c r="L373">
        <f>F373</f>
        <v/>
      </c>
      <c r="M373" s="11">
        <f>I373*K373</f>
        <v/>
      </c>
      <c r="N373" s="12">
        <f>LN(G373)</f>
        <v/>
      </c>
      <c r="O373" s="12">
        <f>H373*Beta_0+I373*Beta_1+J373*Beta_2+K373*Beta_3+L373*Beta_4+M373*Beta_5</f>
        <v/>
      </c>
      <c r="P373" s="12">
        <f>N373-O373</f>
        <v/>
      </c>
      <c r="Q373" s="13">
        <f>EXP(O373)*Smearing_Factor</f>
        <v/>
      </c>
    </row>
    <row r="374">
      <c r="A374" t="n">
        <v>373</v>
      </c>
      <c r="B374" t="inlineStr">
        <is>
          <t>Engineering, manufacturing and construction</t>
        </is>
      </c>
      <c r="C374" s="9" t="n">
        <v>3.9</v>
      </c>
      <c r="D374" t="n">
        <v>9</v>
      </c>
      <c r="E374" t="n">
        <v>1</v>
      </c>
      <c r="F374" t="n">
        <v>1</v>
      </c>
      <c r="G374" s="10" t="n">
        <v>4710</v>
      </c>
      <c r="H374" t="n">
        <v>1</v>
      </c>
      <c r="I374" s="11">
        <f>C374-CGPA_Mean</f>
        <v/>
      </c>
      <c r="J374">
        <f>D374</f>
        <v/>
      </c>
      <c r="K374">
        <f>E374</f>
        <v/>
      </c>
      <c r="L374">
        <f>F374</f>
        <v/>
      </c>
      <c r="M374" s="11">
        <f>I374*K374</f>
        <v/>
      </c>
      <c r="N374" s="12">
        <f>LN(G374)</f>
        <v/>
      </c>
      <c r="O374" s="12">
        <f>H374*Beta_0+I374*Beta_1+J374*Beta_2+K374*Beta_3+L374*Beta_4+M374*Beta_5</f>
        <v/>
      </c>
      <c r="P374" s="12">
        <f>N374-O374</f>
        <v/>
      </c>
      <c r="Q374" s="13">
        <f>EXP(O374)*Smearing_Factor</f>
        <v/>
      </c>
    </row>
    <row r="375">
      <c r="A375" t="n">
        <v>374</v>
      </c>
      <c r="B375" t="inlineStr">
        <is>
          <t>Arts and humanities</t>
        </is>
      </c>
      <c r="C375" s="9" t="n">
        <v>3.48</v>
      </c>
      <c r="D375" t="n">
        <v>9</v>
      </c>
      <c r="E375" t="n">
        <v>0</v>
      </c>
      <c r="F375" t="n">
        <v>0</v>
      </c>
      <c r="G375" s="10" t="n">
        <v>8280</v>
      </c>
      <c r="H375" t="n">
        <v>1</v>
      </c>
      <c r="I375" s="11">
        <f>C375-CGPA_Mean</f>
        <v/>
      </c>
      <c r="J375">
        <f>D375</f>
        <v/>
      </c>
      <c r="K375">
        <f>E375</f>
        <v/>
      </c>
      <c r="L375">
        <f>F375</f>
        <v/>
      </c>
      <c r="M375" s="11">
        <f>I375*K375</f>
        <v/>
      </c>
      <c r="N375" s="12">
        <f>LN(G375)</f>
        <v/>
      </c>
      <c r="O375" s="12">
        <f>H375*Beta_0+I375*Beta_1+J375*Beta_2+K375*Beta_3+L375*Beta_4+M375*Beta_5</f>
        <v/>
      </c>
      <c r="P375" s="12">
        <f>N375-O375</f>
        <v/>
      </c>
      <c r="Q375" s="13">
        <f>EXP(O375)*Smearing_Factor</f>
        <v/>
      </c>
    </row>
    <row r="376">
      <c r="A376" t="n">
        <v>375</v>
      </c>
      <c r="B376" t="inlineStr">
        <is>
          <t>Business, administration and law</t>
        </is>
      </c>
      <c r="C376" s="9" t="n">
        <v>3.35</v>
      </c>
      <c r="D376" t="n">
        <v>9</v>
      </c>
      <c r="E376" t="n">
        <v>0</v>
      </c>
      <c r="F376" t="n">
        <v>1</v>
      </c>
      <c r="G376" s="10" t="n">
        <v>3250</v>
      </c>
      <c r="H376" t="n">
        <v>1</v>
      </c>
      <c r="I376" s="11">
        <f>C376-CGPA_Mean</f>
        <v/>
      </c>
      <c r="J376">
        <f>D376</f>
        <v/>
      </c>
      <c r="K376">
        <f>E376</f>
        <v/>
      </c>
      <c r="L376">
        <f>F376</f>
        <v/>
      </c>
      <c r="M376" s="11">
        <f>I376*K376</f>
        <v/>
      </c>
      <c r="N376" s="12">
        <f>LN(G376)</f>
        <v/>
      </c>
      <c r="O376" s="12">
        <f>H376*Beta_0+I376*Beta_1+J376*Beta_2+K376*Beta_3+L376*Beta_4+M376*Beta_5</f>
        <v/>
      </c>
      <c r="P376" s="12">
        <f>N376-O376</f>
        <v/>
      </c>
      <c r="Q376" s="13">
        <f>EXP(O376)*Smearing_Factor</f>
        <v/>
      </c>
    </row>
    <row r="377">
      <c r="A377" t="n">
        <v>376</v>
      </c>
      <c r="B377" t="inlineStr">
        <is>
          <t>Business, administration and law</t>
        </is>
      </c>
      <c r="C377" s="9" t="n">
        <v>3.34</v>
      </c>
      <c r="D377" t="n">
        <v>3</v>
      </c>
      <c r="E377" t="n">
        <v>0</v>
      </c>
      <c r="F377" t="n">
        <v>0</v>
      </c>
      <c r="G377" s="10" t="n">
        <v>1300</v>
      </c>
      <c r="H377" t="n">
        <v>1</v>
      </c>
      <c r="I377" s="11">
        <f>C377-CGPA_Mean</f>
        <v/>
      </c>
      <c r="J377">
        <f>D377</f>
        <v/>
      </c>
      <c r="K377">
        <f>E377</f>
        <v/>
      </c>
      <c r="L377">
        <f>F377</f>
        <v/>
      </c>
      <c r="M377" s="11">
        <f>I377*K377</f>
        <v/>
      </c>
      <c r="N377" s="12">
        <f>LN(G377)</f>
        <v/>
      </c>
      <c r="O377" s="12">
        <f>H377*Beta_0+I377*Beta_1+J377*Beta_2+K377*Beta_3+L377*Beta_4+M377*Beta_5</f>
        <v/>
      </c>
      <c r="P377" s="12">
        <f>N377-O377</f>
        <v/>
      </c>
      <c r="Q377" s="13">
        <f>EXP(O377)*Smearing_Factor</f>
        <v/>
      </c>
    </row>
    <row r="378">
      <c r="A378" t="n">
        <v>377</v>
      </c>
      <c r="B378" t="inlineStr">
        <is>
          <t>Social sciences, journalism and information</t>
        </is>
      </c>
      <c r="C378" s="9" t="n">
        <v>2.97</v>
      </c>
      <c r="D378" t="n">
        <v>6</v>
      </c>
      <c r="E378" t="n">
        <v>0</v>
      </c>
      <c r="F378" t="n">
        <v>1</v>
      </c>
      <c r="G378" s="10" t="n">
        <v>3240</v>
      </c>
      <c r="H378" t="n">
        <v>1</v>
      </c>
      <c r="I378" s="11">
        <f>C378-CGPA_Mean</f>
        <v/>
      </c>
      <c r="J378">
        <f>D378</f>
        <v/>
      </c>
      <c r="K378">
        <f>E378</f>
        <v/>
      </c>
      <c r="L378">
        <f>F378</f>
        <v/>
      </c>
      <c r="M378" s="11">
        <f>I378*K378</f>
        <v/>
      </c>
      <c r="N378" s="12">
        <f>LN(G378)</f>
        <v/>
      </c>
      <c r="O378" s="12">
        <f>H378*Beta_0+I378*Beta_1+J378*Beta_2+K378*Beta_3+L378*Beta_4+M378*Beta_5</f>
        <v/>
      </c>
      <c r="P378" s="12">
        <f>N378-O378</f>
        <v/>
      </c>
      <c r="Q378" s="13">
        <f>EXP(O378)*Smearing_Factor</f>
        <v/>
      </c>
    </row>
    <row r="379">
      <c r="A379" t="n">
        <v>378</v>
      </c>
      <c r="B379" t="inlineStr">
        <is>
          <t>Business, administration and law</t>
        </is>
      </c>
      <c r="C379" s="9" t="n">
        <v>3.62</v>
      </c>
      <c r="D379" t="n">
        <v>3</v>
      </c>
      <c r="E379" t="n">
        <v>0</v>
      </c>
      <c r="F379" t="n">
        <v>0</v>
      </c>
      <c r="G379" s="10" t="n">
        <v>2000</v>
      </c>
      <c r="H379" t="n">
        <v>1</v>
      </c>
      <c r="I379" s="11">
        <f>C379-CGPA_Mean</f>
        <v/>
      </c>
      <c r="J379">
        <f>D379</f>
        <v/>
      </c>
      <c r="K379">
        <f>E379</f>
        <v/>
      </c>
      <c r="L379">
        <f>F379</f>
        <v/>
      </c>
      <c r="M379" s="11">
        <f>I379*K379</f>
        <v/>
      </c>
      <c r="N379" s="12">
        <f>LN(G379)</f>
        <v/>
      </c>
      <c r="O379" s="12">
        <f>H379*Beta_0+I379*Beta_1+J379*Beta_2+K379*Beta_3+L379*Beta_4+M379*Beta_5</f>
        <v/>
      </c>
      <c r="P379" s="12">
        <f>N379-O379</f>
        <v/>
      </c>
      <c r="Q379" s="13">
        <f>EXP(O379)*Smearing_Factor</f>
        <v/>
      </c>
    </row>
    <row r="380">
      <c r="A380" t="n">
        <v>379</v>
      </c>
      <c r="B380" t="inlineStr">
        <is>
          <t>Business, administration and law</t>
        </is>
      </c>
      <c r="C380" s="9" t="n">
        <v>3.18</v>
      </c>
      <c r="D380" t="n">
        <v>6</v>
      </c>
      <c r="E380" t="n">
        <v>0</v>
      </c>
      <c r="F380" t="n">
        <v>1</v>
      </c>
      <c r="G380" s="10" t="n">
        <v>2560</v>
      </c>
      <c r="H380" t="n">
        <v>1</v>
      </c>
      <c r="I380" s="11">
        <f>C380-CGPA_Mean</f>
        <v/>
      </c>
      <c r="J380">
        <f>D380</f>
        <v/>
      </c>
      <c r="K380">
        <f>E380</f>
        <v/>
      </c>
      <c r="L380">
        <f>F380</f>
        <v/>
      </c>
      <c r="M380" s="11">
        <f>I380*K380</f>
        <v/>
      </c>
      <c r="N380" s="12">
        <f>LN(G380)</f>
        <v/>
      </c>
      <c r="O380" s="12">
        <f>H380*Beta_0+I380*Beta_1+J380*Beta_2+K380*Beta_3+L380*Beta_4+M380*Beta_5</f>
        <v/>
      </c>
      <c r="P380" s="12">
        <f>N380-O380</f>
        <v/>
      </c>
      <c r="Q380" s="13">
        <f>EXP(O380)*Smearing_Factor</f>
        <v/>
      </c>
    </row>
    <row r="381">
      <c r="A381" t="n">
        <v>380</v>
      </c>
      <c r="B381" t="inlineStr">
        <is>
          <t>Arts and humanities</t>
        </is>
      </c>
      <c r="C381" s="9" t="n">
        <v>3.29</v>
      </c>
      <c r="D381" t="n">
        <v>6</v>
      </c>
      <c r="E381" t="n">
        <v>0</v>
      </c>
      <c r="F381" t="n">
        <v>1</v>
      </c>
      <c r="G381" s="10" t="n">
        <v>2120</v>
      </c>
      <c r="H381" t="n">
        <v>1</v>
      </c>
      <c r="I381" s="11">
        <f>C381-CGPA_Mean</f>
        <v/>
      </c>
      <c r="J381">
        <f>D381</f>
        <v/>
      </c>
      <c r="K381">
        <f>E381</f>
        <v/>
      </c>
      <c r="L381">
        <f>F381</f>
        <v/>
      </c>
      <c r="M381" s="11">
        <f>I381*K381</f>
        <v/>
      </c>
      <c r="N381" s="12">
        <f>LN(G381)</f>
        <v/>
      </c>
      <c r="O381" s="12">
        <f>H381*Beta_0+I381*Beta_1+J381*Beta_2+K381*Beta_3+L381*Beta_4+M381*Beta_5</f>
        <v/>
      </c>
      <c r="P381" s="12">
        <f>N381-O381</f>
        <v/>
      </c>
      <c r="Q381" s="13">
        <f>EXP(O381)*Smearing_Factor</f>
        <v/>
      </c>
    </row>
    <row r="382">
      <c r="A382" t="n">
        <v>381</v>
      </c>
      <c r="B382" t="inlineStr">
        <is>
          <t>Engineering, manufacturing and construction</t>
        </is>
      </c>
      <c r="C382" s="9" t="n">
        <v>3.44</v>
      </c>
      <c r="D382" t="n">
        <v>6</v>
      </c>
      <c r="E382" t="n">
        <v>1</v>
      </c>
      <c r="F382" t="n">
        <v>0</v>
      </c>
      <c r="G382" s="10" t="n">
        <v>2680</v>
      </c>
      <c r="H382" t="n">
        <v>1</v>
      </c>
      <c r="I382" s="11">
        <f>C382-CGPA_Mean</f>
        <v/>
      </c>
      <c r="J382">
        <f>D382</f>
        <v/>
      </c>
      <c r="K382">
        <f>E382</f>
        <v/>
      </c>
      <c r="L382">
        <f>F382</f>
        <v/>
      </c>
      <c r="M382" s="11">
        <f>I382*K382</f>
        <v/>
      </c>
      <c r="N382" s="12">
        <f>LN(G382)</f>
        <v/>
      </c>
      <c r="O382" s="12">
        <f>H382*Beta_0+I382*Beta_1+J382*Beta_2+K382*Beta_3+L382*Beta_4+M382*Beta_5</f>
        <v/>
      </c>
      <c r="P382" s="12">
        <f>N382-O382</f>
        <v/>
      </c>
      <c r="Q382" s="13">
        <f>EXP(O382)*Smearing_Factor</f>
        <v/>
      </c>
    </row>
    <row r="383">
      <c r="A383" t="n">
        <v>382</v>
      </c>
      <c r="B383" t="inlineStr">
        <is>
          <t>Engineering, manufacturing and construction</t>
        </is>
      </c>
      <c r="C383" s="9" t="n">
        <v>2.48</v>
      </c>
      <c r="D383" t="n">
        <v>6</v>
      </c>
      <c r="E383" t="n">
        <v>1</v>
      </c>
      <c r="F383" t="n">
        <v>1</v>
      </c>
      <c r="G383" s="10" t="n">
        <v>2170</v>
      </c>
      <c r="H383" t="n">
        <v>1</v>
      </c>
      <c r="I383" s="11">
        <f>C383-CGPA_Mean</f>
        <v/>
      </c>
      <c r="J383">
        <f>D383</f>
        <v/>
      </c>
      <c r="K383">
        <f>E383</f>
        <v/>
      </c>
      <c r="L383">
        <f>F383</f>
        <v/>
      </c>
      <c r="M383" s="11">
        <f>I383*K383</f>
        <v/>
      </c>
      <c r="N383" s="12">
        <f>LN(G383)</f>
        <v/>
      </c>
      <c r="O383" s="12">
        <f>H383*Beta_0+I383*Beta_1+J383*Beta_2+K383*Beta_3+L383*Beta_4+M383*Beta_5</f>
        <v/>
      </c>
      <c r="P383" s="12">
        <f>N383-O383</f>
        <v/>
      </c>
      <c r="Q383" s="13">
        <f>EXP(O383)*Smearing_Factor</f>
        <v/>
      </c>
    </row>
    <row r="384">
      <c r="A384" t="n">
        <v>383</v>
      </c>
      <c r="B384" t="inlineStr">
        <is>
          <t>Arts and humanities</t>
        </is>
      </c>
      <c r="C384" s="9" t="n">
        <v>2.83</v>
      </c>
      <c r="D384" t="n">
        <v>3</v>
      </c>
      <c r="E384" t="n">
        <v>0</v>
      </c>
      <c r="F384" t="n">
        <v>0</v>
      </c>
      <c r="G384" s="10" t="n">
        <v>880</v>
      </c>
      <c r="H384" t="n">
        <v>1</v>
      </c>
      <c r="I384" s="11">
        <f>C384-CGPA_Mean</f>
        <v/>
      </c>
      <c r="J384">
        <f>D384</f>
        <v/>
      </c>
      <c r="K384">
        <f>E384</f>
        <v/>
      </c>
      <c r="L384">
        <f>F384</f>
        <v/>
      </c>
      <c r="M384" s="11">
        <f>I384*K384</f>
        <v/>
      </c>
      <c r="N384" s="12">
        <f>LN(G384)</f>
        <v/>
      </c>
      <c r="O384" s="12">
        <f>H384*Beta_0+I384*Beta_1+J384*Beta_2+K384*Beta_3+L384*Beta_4+M384*Beta_5</f>
        <v/>
      </c>
      <c r="P384" s="12">
        <f>N384-O384</f>
        <v/>
      </c>
      <c r="Q384" s="13">
        <f>EXP(O384)*Smearing_Factor</f>
        <v/>
      </c>
    </row>
    <row r="385">
      <c r="A385" t="n">
        <v>384</v>
      </c>
      <c r="B385" t="inlineStr">
        <is>
          <t>Services</t>
        </is>
      </c>
      <c r="C385" s="9" t="n">
        <v>2.64</v>
      </c>
      <c r="D385" t="n">
        <v>6</v>
      </c>
      <c r="E385" t="n">
        <v>0</v>
      </c>
      <c r="F385" t="n">
        <v>0</v>
      </c>
      <c r="G385" s="10" t="n">
        <v>1160</v>
      </c>
      <c r="H385" t="n">
        <v>1</v>
      </c>
      <c r="I385" s="11">
        <f>C385-CGPA_Mean</f>
        <v/>
      </c>
      <c r="J385">
        <f>D385</f>
        <v/>
      </c>
      <c r="K385">
        <f>E385</f>
        <v/>
      </c>
      <c r="L385">
        <f>F385</f>
        <v/>
      </c>
      <c r="M385" s="11">
        <f>I385*K385</f>
        <v/>
      </c>
      <c r="N385" s="12">
        <f>LN(G385)</f>
        <v/>
      </c>
      <c r="O385" s="12">
        <f>H385*Beta_0+I385*Beta_1+J385*Beta_2+K385*Beta_3+L385*Beta_4+M385*Beta_5</f>
        <v/>
      </c>
      <c r="P385" s="12">
        <f>N385-O385</f>
        <v/>
      </c>
      <c r="Q385" s="13">
        <f>EXP(O385)*Smearing_Factor</f>
        <v/>
      </c>
    </row>
    <row r="386">
      <c r="A386" t="n">
        <v>385</v>
      </c>
      <c r="B386" t="inlineStr">
        <is>
          <t>Business, administration and law</t>
        </is>
      </c>
      <c r="C386" s="9" t="n">
        <v>2.97</v>
      </c>
      <c r="D386" t="n">
        <v>6</v>
      </c>
      <c r="E386" t="n">
        <v>0</v>
      </c>
      <c r="F386" t="n">
        <v>1</v>
      </c>
      <c r="G386" s="10" t="n">
        <v>10490</v>
      </c>
      <c r="H386" t="n">
        <v>1</v>
      </c>
      <c r="I386" s="11">
        <f>C386-CGPA_Mean</f>
        <v/>
      </c>
      <c r="J386">
        <f>D386</f>
        <v/>
      </c>
      <c r="K386">
        <f>E386</f>
        <v/>
      </c>
      <c r="L386">
        <f>F386</f>
        <v/>
      </c>
      <c r="M386" s="11">
        <f>I386*K386</f>
        <v/>
      </c>
      <c r="N386" s="12">
        <f>LN(G386)</f>
        <v/>
      </c>
      <c r="O386" s="12">
        <f>H386*Beta_0+I386*Beta_1+J386*Beta_2+K386*Beta_3+L386*Beta_4+M386*Beta_5</f>
        <v/>
      </c>
      <c r="P386" s="12">
        <f>N386-O386</f>
        <v/>
      </c>
      <c r="Q386" s="13">
        <f>EXP(O386)*Smearing_Factor</f>
        <v/>
      </c>
    </row>
    <row r="387">
      <c r="A387" t="n">
        <v>386</v>
      </c>
      <c r="B387" t="inlineStr">
        <is>
          <t>Business, administration and law</t>
        </is>
      </c>
      <c r="C387" s="9" t="n">
        <v>3.29</v>
      </c>
      <c r="D387" t="n">
        <v>6</v>
      </c>
      <c r="E387" t="n">
        <v>0</v>
      </c>
      <c r="F387" t="n">
        <v>1</v>
      </c>
      <c r="G387" s="10" t="n">
        <v>2480</v>
      </c>
      <c r="H387" t="n">
        <v>1</v>
      </c>
      <c r="I387" s="11">
        <f>C387-CGPA_Mean</f>
        <v/>
      </c>
      <c r="J387">
        <f>D387</f>
        <v/>
      </c>
      <c r="K387">
        <f>E387</f>
        <v/>
      </c>
      <c r="L387">
        <f>F387</f>
        <v/>
      </c>
      <c r="M387" s="11">
        <f>I387*K387</f>
        <v/>
      </c>
      <c r="N387" s="12">
        <f>LN(G387)</f>
        <v/>
      </c>
      <c r="O387" s="12">
        <f>H387*Beta_0+I387*Beta_1+J387*Beta_2+K387*Beta_3+L387*Beta_4+M387*Beta_5</f>
        <v/>
      </c>
      <c r="P387" s="12">
        <f>N387-O387</f>
        <v/>
      </c>
      <c r="Q387" s="13">
        <f>EXP(O387)*Smearing_Factor</f>
        <v/>
      </c>
    </row>
    <row r="388">
      <c r="A388" t="n">
        <v>387</v>
      </c>
      <c r="B388" t="inlineStr">
        <is>
          <t>Engineering, manufacturing and construction</t>
        </is>
      </c>
      <c r="C388" s="9" t="n">
        <v>3.58</v>
      </c>
      <c r="D388" t="n">
        <v>6</v>
      </c>
      <c r="E388" t="n">
        <v>1</v>
      </c>
      <c r="F388" t="n">
        <v>1</v>
      </c>
      <c r="G388" s="10" t="n">
        <v>3570</v>
      </c>
      <c r="H388" t="n">
        <v>1</v>
      </c>
      <c r="I388" s="11">
        <f>C388-CGPA_Mean</f>
        <v/>
      </c>
      <c r="J388">
        <f>D388</f>
        <v/>
      </c>
      <c r="K388">
        <f>E388</f>
        <v/>
      </c>
      <c r="L388">
        <f>F388</f>
        <v/>
      </c>
      <c r="M388" s="11">
        <f>I388*K388</f>
        <v/>
      </c>
      <c r="N388" s="12">
        <f>LN(G388)</f>
        <v/>
      </c>
      <c r="O388" s="12">
        <f>H388*Beta_0+I388*Beta_1+J388*Beta_2+K388*Beta_3+L388*Beta_4+M388*Beta_5</f>
        <v/>
      </c>
      <c r="P388" s="12">
        <f>N388-O388</f>
        <v/>
      </c>
      <c r="Q388" s="13">
        <f>EXP(O388)*Smearing_Factor</f>
        <v/>
      </c>
    </row>
    <row r="389">
      <c r="A389" t="n">
        <v>388</v>
      </c>
      <c r="B389" t="inlineStr">
        <is>
          <t>Natural sciences, mathematics and statistics</t>
        </is>
      </c>
      <c r="C389" s="9" t="n">
        <v>3.74</v>
      </c>
      <c r="D389" t="n">
        <v>6</v>
      </c>
      <c r="E389" t="n">
        <v>1</v>
      </c>
      <c r="F389" t="n">
        <v>0</v>
      </c>
      <c r="G389" s="10" t="n">
        <v>1710</v>
      </c>
      <c r="H389" t="n">
        <v>1</v>
      </c>
      <c r="I389" s="11">
        <f>C389-CGPA_Mean</f>
        <v/>
      </c>
      <c r="J389">
        <f>D389</f>
        <v/>
      </c>
      <c r="K389">
        <f>E389</f>
        <v/>
      </c>
      <c r="L389">
        <f>F389</f>
        <v/>
      </c>
      <c r="M389" s="11">
        <f>I389*K389</f>
        <v/>
      </c>
      <c r="N389" s="12">
        <f>LN(G389)</f>
        <v/>
      </c>
      <c r="O389" s="12">
        <f>H389*Beta_0+I389*Beta_1+J389*Beta_2+K389*Beta_3+L389*Beta_4+M389*Beta_5</f>
        <v/>
      </c>
      <c r="P389" s="12">
        <f>N389-O389</f>
        <v/>
      </c>
      <c r="Q389" s="13">
        <f>EXP(O389)*Smearing_Factor</f>
        <v/>
      </c>
    </row>
    <row r="390">
      <c r="A390" t="n">
        <v>389</v>
      </c>
      <c r="B390" t="inlineStr">
        <is>
          <t>Social sciences, journalism and information</t>
        </is>
      </c>
      <c r="C390" s="9" t="n">
        <v>2.66</v>
      </c>
      <c r="D390" t="n">
        <v>6</v>
      </c>
      <c r="E390" t="n">
        <v>0</v>
      </c>
      <c r="F390" t="n">
        <v>0</v>
      </c>
      <c r="G390" s="10" t="n">
        <v>630</v>
      </c>
      <c r="H390" t="n">
        <v>1</v>
      </c>
      <c r="I390" s="11">
        <f>C390-CGPA_Mean</f>
        <v/>
      </c>
      <c r="J390">
        <f>D390</f>
        <v/>
      </c>
      <c r="K390">
        <f>E390</f>
        <v/>
      </c>
      <c r="L390">
        <f>F390</f>
        <v/>
      </c>
      <c r="M390" s="11">
        <f>I390*K390</f>
        <v/>
      </c>
      <c r="N390" s="12">
        <f>LN(G390)</f>
        <v/>
      </c>
      <c r="O390" s="12">
        <f>H390*Beta_0+I390*Beta_1+J390*Beta_2+K390*Beta_3+L390*Beta_4+M390*Beta_5</f>
        <v/>
      </c>
      <c r="P390" s="12">
        <f>N390-O390</f>
        <v/>
      </c>
      <c r="Q390" s="13">
        <f>EXP(O390)*Smearing_Factor</f>
        <v/>
      </c>
    </row>
    <row r="391">
      <c r="A391" t="n">
        <v>390</v>
      </c>
      <c r="B391" t="inlineStr">
        <is>
          <t>Information and communication technologies</t>
        </is>
      </c>
      <c r="C391" s="9" t="n">
        <v>3.33</v>
      </c>
      <c r="D391" t="n">
        <v>3</v>
      </c>
      <c r="E391" t="n">
        <v>1</v>
      </c>
      <c r="F391" t="n">
        <v>0</v>
      </c>
      <c r="G391" s="10" t="n">
        <v>2890</v>
      </c>
      <c r="H391" t="n">
        <v>1</v>
      </c>
      <c r="I391" s="11">
        <f>C391-CGPA_Mean</f>
        <v/>
      </c>
      <c r="J391">
        <f>D391</f>
        <v/>
      </c>
      <c r="K391">
        <f>E391</f>
        <v/>
      </c>
      <c r="L391">
        <f>F391</f>
        <v/>
      </c>
      <c r="M391" s="11">
        <f>I391*K391</f>
        <v/>
      </c>
      <c r="N391" s="12">
        <f>LN(G391)</f>
        <v/>
      </c>
      <c r="O391" s="12">
        <f>H391*Beta_0+I391*Beta_1+J391*Beta_2+K391*Beta_3+L391*Beta_4+M391*Beta_5</f>
        <v/>
      </c>
      <c r="P391" s="12">
        <f>N391-O391</f>
        <v/>
      </c>
      <c r="Q391" s="13">
        <f>EXP(O391)*Smearing_Factor</f>
        <v/>
      </c>
    </row>
    <row r="392">
      <c r="A392" t="n">
        <v>391</v>
      </c>
      <c r="B392" t="inlineStr">
        <is>
          <t>Natural sciences, mathematics and statistics</t>
        </is>
      </c>
      <c r="C392" s="9" t="n">
        <v>3.65</v>
      </c>
      <c r="D392" t="n">
        <v>6</v>
      </c>
      <c r="E392" t="n">
        <v>1</v>
      </c>
      <c r="F392" t="n">
        <v>1</v>
      </c>
      <c r="G392" s="10" t="n">
        <v>3040</v>
      </c>
      <c r="H392" t="n">
        <v>1</v>
      </c>
      <c r="I392" s="11">
        <f>C392-CGPA_Mean</f>
        <v/>
      </c>
      <c r="J392">
        <f>D392</f>
        <v/>
      </c>
      <c r="K392">
        <f>E392</f>
        <v/>
      </c>
      <c r="L392">
        <f>F392</f>
        <v/>
      </c>
      <c r="M392" s="11">
        <f>I392*K392</f>
        <v/>
      </c>
      <c r="N392" s="12">
        <f>LN(G392)</f>
        <v/>
      </c>
      <c r="O392" s="12">
        <f>H392*Beta_0+I392*Beta_1+J392*Beta_2+K392*Beta_3+L392*Beta_4+M392*Beta_5</f>
        <v/>
      </c>
      <c r="P392" s="12">
        <f>N392-O392</f>
        <v/>
      </c>
      <c r="Q392" s="13">
        <f>EXP(O392)*Smearing_Factor</f>
        <v/>
      </c>
    </row>
    <row r="393">
      <c r="A393" t="n">
        <v>392</v>
      </c>
      <c r="B393" t="inlineStr">
        <is>
          <t>Education</t>
        </is>
      </c>
      <c r="C393" s="9" t="n">
        <v>3.07</v>
      </c>
      <c r="D393" t="n">
        <v>9</v>
      </c>
      <c r="E393" t="n">
        <v>0</v>
      </c>
      <c r="F393" t="n">
        <v>0</v>
      </c>
      <c r="G393" s="10" t="n">
        <v>2340</v>
      </c>
      <c r="H393" t="n">
        <v>1</v>
      </c>
      <c r="I393" s="11">
        <f>C393-CGPA_Mean</f>
        <v/>
      </c>
      <c r="J393">
        <f>D393</f>
        <v/>
      </c>
      <c r="K393">
        <f>E393</f>
        <v/>
      </c>
      <c r="L393">
        <f>F393</f>
        <v/>
      </c>
      <c r="M393" s="11">
        <f>I393*K393</f>
        <v/>
      </c>
      <c r="N393" s="12">
        <f>LN(G393)</f>
        <v/>
      </c>
      <c r="O393" s="12">
        <f>H393*Beta_0+I393*Beta_1+J393*Beta_2+K393*Beta_3+L393*Beta_4+M393*Beta_5</f>
        <v/>
      </c>
      <c r="P393" s="12">
        <f>N393-O393</f>
        <v/>
      </c>
      <c r="Q393" s="13">
        <f>EXP(O393)*Smearing_Factor</f>
        <v/>
      </c>
    </row>
    <row r="394">
      <c r="A394" t="n">
        <v>393</v>
      </c>
      <c r="B394" t="inlineStr">
        <is>
          <t>Social sciences, journalism and information</t>
        </is>
      </c>
      <c r="C394" s="9" t="n">
        <v>3.25</v>
      </c>
      <c r="D394" t="n">
        <v>3</v>
      </c>
      <c r="E394" t="n">
        <v>0</v>
      </c>
      <c r="F394" t="n">
        <v>1</v>
      </c>
      <c r="G394" s="10" t="n">
        <v>2580</v>
      </c>
      <c r="H394" t="n">
        <v>1</v>
      </c>
      <c r="I394" s="11">
        <f>C394-CGPA_Mean</f>
        <v/>
      </c>
      <c r="J394">
        <f>D394</f>
        <v/>
      </c>
      <c r="K394">
        <f>E394</f>
        <v/>
      </c>
      <c r="L394">
        <f>F394</f>
        <v/>
      </c>
      <c r="M394" s="11">
        <f>I394*K394</f>
        <v/>
      </c>
      <c r="N394" s="12">
        <f>LN(G394)</f>
        <v/>
      </c>
      <c r="O394" s="12">
        <f>H394*Beta_0+I394*Beta_1+J394*Beta_2+K394*Beta_3+L394*Beta_4+M394*Beta_5</f>
        <v/>
      </c>
      <c r="P394" s="12">
        <f>N394-O394</f>
        <v/>
      </c>
      <c r="Q394" s="13">
        <f>EXP(O394)*Smearing_Factor</f>
        <v/>
      </c>
    </row>
    <row r="395">
      <c r="A395" t="n">
        <v>394</v>
      </c>
      <c r="B395" t="inlineStr">
        <is>
          <t>Health and welfare</t>
        </is>
      </c>
      <c r="C395" s="9" t="n">
        <v>3.28</v>
      </c>
      <c r="D395" t="n">
        <v>9</v>
      </c>
      <c r="E395" t="n">
        <v>0</v>
      </c>
      <c r="F395" t="n">
        <v>1</v>
      </c>
      <c r="G395" s="10" t="n">
        <v>7400</v>
      </c>
      <c r="H395" t="n">
        <v>1</v>
      </c>
      <c r="I395" s="11">
        <f>C395-CGPA_Mean</f>
        <v/>
      </c>
      <c r="J395">
        <f>D395</f>
        <v/>
      </c>
      <c r="K395">
        <f>E395</f>
        <v/>
      </c>
      <c r="L395">
        <f>F395</f>
        <v/>
      </c>
      <c r="M395" s="11">
        <f>I395*K395</f>
        <v/>
      </c>
      <c r="N395" s="12">
        <f>LN(G395)</f>
        <v/>
      </c>
      <c r="O395" s="12">
        <f>H395*Beta_0+I395*Beta_1+J395*Beta_2+K395*Beta_3+L395*Beta_4+M395*Beta_5</f>
        <v/>
      </c>
      <c r="P395" s="12">
        <f>N395-O395</f>
        <v/>
      </c>
      <c r="Q395" s="13">
        <f>EXP(O395)*Smearing_Factor</f>
        <v/>
      </c>
    </row>
    <row r="396">
      <c r="A396" t="n">
        <v>395</v>
      </c>
      <c r="B396" t="inlineStr">
        <is>
          <t>Business, administration and law</t>
        </is>
      </c>
      <c r="C396" s="9" t="n">
        <v>3.69</v>
      </c>
      <c r="D396" t="n">
        <v>6</v>
      </c>
      <c r="E396" t="n">
        <v>0</v>
      </c>
      <c r="F396" t="n">
        <v>0</v>
      </c>
      <c r="G396" s="10" t="n">
        <v>2930</v>
      </c>
      <c r="H396" t="n">
        <v>1</v>
      </c>
      <c r="I396" s="11">
        <f>C396-CGPA_Mean</f>
        <v/>
      </c>
      <c r="J396">
        <f>D396</f>
        <v/>
      </c>
      <c r="K396">
        <f>E396</f>
        <v/>
      </c>
      <c r="L396">
        <f>F396</f>
        <v/>
      </c>
      <c r="M396" s="11">
        <f>I396*K396</f>
        <v/>
      </c>
      <c r="N396" s="12">
        <f>LN(G396)</f>
        <v/>
      </c>
      <c r="O396" s="12">
        <f>H396*Beta_0+I396*Beta_1+J396*Beta_2+K396*Beta_3+L396*Beta_4+M396*Beta_5</f>
        <v/>
      </c>
      <c r="P396" s="12">
        <f>N396-O396</f>
        <v/>
      </c>
      <c r="Q396" s="13">
        <f>EXP(O396)*Smearing_Factor</f>
        <v/>
      </c>
    </row>
    <row r="397">
      <c r="A397" t="n">
        <v>396</v>
      </c>
      <c r="B397" t="inlineStr">
        <is>
          <t>Services</t>
        </is>
      </c>
      <c r="C397" s="9" t="n">
        <v>3.74</v>
      </c>
      <c r="D397" t="n">
        <v>9</v>
      </c>
      <c r="E397" t="n">
        <v>0</v>
      </c>
      <c r="F397" t="n">
        <v>0</v>
      </c>
      <c r="G397" s="10" t="n">
        <v>1930</v>
      </c>
      <c r="H397" t="n">
        <v>1</v>
      </c>
      <c r="I397" s="11">
        <f>C397-CGPA_Mean</f>
        <v/>
      </c>
      <c r="J397">
        <f>D397</f>
        <v/>
      </c>
      <c r="K397">
        <f>E397</f>
        <v/>
      </c>
      <c r="L397">
        <f>F397</f>
        <v/>
      </c>
      <c r="M397" s="11">
        <f>I397*K397</f>
        <v/>
      </c>
      <c r="N397" s="12">
        <f>LN(G397)</f>
        <v/>
      </c>
      <c r="O397" s="12">
        <f>H397*Beta_0+I397*Beta_1+J397*Beta_2+K397*Beta_3+L397*Beta_4+M397*Beta_5</f>
        <v/>
      </c>
      <c r="P397" s="12">
        <f>N397-O397</f>
        <v/>
      </c>
      <c r="Q397" s="13">
        <f>EXP(O397)*Smearing_Factor</f>
        <v/>
      </c>
    </row>
    <row r="398">
      <c r="A398" t="n">
        <v>397</v>
      </c>
      <c r="B398" t="inlineStr">
        <is>
          <t>Engineering, manufacturing and construction</t>
        </is>
      </c>
      <c r="C398" s="9" t="n">
        <v>2.92</v>
      </c>
      <c r="D398" t="n">
        <v>6</v>
      </c>
      <c r="E398" t="n">
        <v>1</v>
      </c>
      <c r="F398" t="n">
        <v>1</v>
      </c>
      <c r="G398" s="10" t="n">
        <v>2340</v>
      </c>
      <c r="H398" t="n">
        <v>1</v>
      </c>
      <c r="I398" s="11">
        <f>C398-CGPA_Mean</f>
        <v/>
      </c>
      <c r="J398">
        <f>D398</f>
        <v/>
      </c>
      <c r="K398">
        <f>E398</f>
        <v/>
      </c>
      <c r="L398">
        <f>F398</f>
        <v/>
      </c>
      <c r="M398" s="11">
        <f>I398*K398</f>
        <v/>
      </c>
      <c r="N398" s="12">
        <f>LN(G398)</f>
        <v/>
      </c>
      <c r="O398" s="12">
        <f>H398*Beta_0+I398*Beta_1+J398*Beta_2+K398*Beta_3+L398*Beta_4+M398*Beta_5</f>
        <v/>
      </c>
      <c r="P398" s="12">
        <f>N398-O398</f>
        <v/>
      </c>
      <c r="Q398" s="13">
        <f>EXP(O398)*Smearing_Factor</f>
        <v/>
      </c>
    </row>
    <row r="399">
      <c r="A399" t="n">
        <v>398</v>
      </c>
      <c r="B399" t="inlineStr">
        <is>
          <t>Engineering, manufacturing and construction</t>
        </is>
      </c>
      <c r="C399" s="9" t="n">
        <v>2.67</v>
      </c>
      <c r="D399" t="n">
        <v>3</v>
      </c>
      <c r="E399" t="n">
        <v>1</v>
      </c>
      <c r="F399" t="n">
        <v>0</v>
      </c>
      <c r="G399" s="10" t="n">
        <v>1040</v>
      </c>
      <c r="H399" t="n">
        <v>1</v>
      </c>
      <c r="I399" s="11">
        <f>C399-CGPA_Mean</f>
        <v/>
      </c>
      <c r="J399">
        <f>D399</f>
        <v/>
      </c>
      <c r="K399">
        <f>E399</f>
        <v/>
      </c>
      <c r="L399">
        <f>F399</f>
        <v/>
      </c>
      <c r="M399" s="11">
        <f>I399*K399</f>
        <v/>
      </c>
      <c r="N399" s="12">
        <f>LN(G399)</f>
        <v/>
      </c>
      <c r="O399" s="12">
        <f>H399*Beta_0+I399*Beta_1+J399*Beta_2+K399*Beta_3+L399*Beta_4+M399*Beta_5</f>
        <v/>
      </c>
      <c r="P399" s="12">
        <f>N399-O399</f>
        <v/>
      </c>
      <c r="Q399" s="13">
        <f>EXP(O399)*Smearing_Factor</f>
        <v/>
      </c>
    </row>
    <row r="400">
      <c r="A400" t="n">
        <v>399</v>
      </c>
      <c r="B400" t="inlineStr">
        <is>
          <t>Social sciences, journalism and information</t>
        </is>
      </c>
      <c r="C400" s="9" t="n">
        <v>3.17</v>
      </c>
      <c r="D400" t="n">
        <v>3</v>
      </c>
      <c r="E400" t="n">
        <v>0</v>
      </c>
      <c r="F400" t="n">
        <v>1</v>
      </c>
      <c r="G400" s="10" t="n">
        <v>4230</v>
      </c>
      <c r="H400" t="n">
        <v>1</v>
      </c>
      <c r="I400" s="11">
        <f>C400-CGPA_Mean</f>
        <v/>
      </c>
      <c r="J400">
        <f>D400</f>
        <v/>
      </c>
      <c r="K400">
        <f>E400</f>
        <v/>
      </c>
      <c r="L400">
        <f>F400</f>
        <v/>
      </c>
      <c r="M400" s="11">
        <f>I400*K400</f>
        <v/>
      </c>
      <c r="N400" s="12">
        <f>LN(G400)</f>
        <v/>
      </c>
      <c r="O400" s="12">
        <f>H400*Beta_0+I400*Beta_1+J400*Beta_2+K400*Beta_3+L400*Beta_4+M400*Beta_5</f>
        <v/>
      </c>
      <c r="P400" s="12">
        <f>N400-O400</f>
        <v/>
      </c>
      <c r="Q400" s="13">
        <f>EXP(O400)*Smearing_Factor</f>
        <v/>
      </c>
    </row>
    <row r="401">
      <c r="A401" t="n">
        <v>400</v>
      </c>
      <c r="B401" t="inlineStr">
        <is>
          <t>Social sciences, journalism and information</t>
        </is>
      </c>
      <c r="C401" s="9" t="n">
        <v>3.26</v>
      </c>
      <c r="D401" t="n">
        <v>3</v>
      </c>
      <c r="E401" t="n">
        <v>0</v>
      </c>
      <c r="F401" t="n">
        <v>1</v>
      </c>
      <c r="G401" s="10" t="n">
        <v>3930</v>
      </c>
      <c r="H401" t="n">
        <v>1</v>
      </c>
      <c r="I401" s="11">
        <f>C401-CGPA_Mean</f>
        <v/>
      </c>
      <c r="J401">
        <f>D401</f>
        <v/>
      </c>
      <c r="K401">
        <f>E401</f>
        <v/>
      </c>
      <c r="L401">
        <f>F401</f>
        <v/>
      </c>
      <c r="M401" s="11">
        <f>I401*K401</f>
        <v/>
      </c>
      <c r="N401" s="12">
        <f>LN(G401)</f>
        <v/>
      </c>
      <c r="O401" s="12">
        <f>H401*Beta_0+I401*Beta_1+J401*Beta_2+K401*Beta_3+L401*Beta_4+M401*Beta_5</f>
        <v/>
      </c>
      <c r="P401" s="12">
        <f>N401-O401</f>
        <v/>
      </c>
      <c r="Q401" s="13">
        <f>EXP(O401)*Smearing_Factor</f>
        <v/>
      </c>
    </row>
    <row r="402">
      <c r="A402" t="n">
        <v>401</v>
      </c>
      <c r="B402" t="inlineStr">
        <is>
          <t>Business, administration and law</t>
        </is>
      </c>
      <c r="C402" s="9" t="n">
        <v>2.6</v>
      </c>
      <c r="D402" t="n">
        <v>6</v>
      </c>
      <c r="E402" t="n">
        <v>0</v>
      </c>
      <c r="F402" t="n">
        <v>0</v>
      </c>
      <c r="G402" s="10" t="n">
        <v>3300</v>
      </c>
      <c r="H402" t="n">
        <v>1</v>
      </c>
      <c r="I402" s="11">
        <f>C402-CGPA_Mean</f>
        <v/>
      </c>
      <c r="J402">
        <f>D402</f>
        <v/>
      </c>
      <c r="K402">
        <f>E402</f>
        <v/>
      </c>
      <c r="L402">
        <f>F402</f>
        <v/>
      </c>
      <c r="M402" s="11">
        <f>I402*K402</f>
        <v/>
      </c>
      <c r="N402" s="12">
        <f>LN(G402)</f>
        <v/>
      </c>
      <c r="O402" s="12">
        <f>H402*Beta_0+I402*Beta_1+J402*Beta_2+K402*Beta_3+L402*Beta_4+M402*Beta_5</f>
        <v/>
      </c>
      <c r="P402" s="12">
        <f>N402-O402</f>
        <v/>
      </c>
      <c r="Q402" s="13">
        <f>EXP(O402)*Smearing_Factor</f>
        <v/>
      </c>
    </row>
    <row r="403">
      <c r="A403" t="n">
        <v>402</v>
      </c>
      <c r="B403" t="inlineStr">
        <is>
          <t>Arts and humanities</t>
        </is>
      </c>
      <c r="C403" s="9" t="n">
        <v>3.01</v>
      </c>
      <c r="D403" t="n">
        <v>6</v>
      </c>
      <c r="E403" t="n">
        <v>0</v>
      </c>
      <c r="F403" t="n">
        <v>0</v>
      </c>
      <c r="G403" s="10" t="n">
        <v>760</v>
      </c>
      <c r="H403" t="n">
        <v>1</v>
      </c>
      <c r="I403" s="11">
        <f>C403-CGPA_Mean</f>
        <v/>
      </c>
      <c r="J403">
        <f>D403</f>
        <v/>
      </c>
      <c r="K403">
        <f>E403</f>
        <v/>
      </c>
      <c r="L403">
        <f>F403</f>
        <v/>
      </c>
      <c r="M403" s="11">
        <f>I403*K403</f>
        <v/>
      </c>
      <c r="N403" s="12">
        <f>LN(G403)</f>
        <v/>
      </c>
      <c r="O403" s="12">
        <f>H403*Beta_0+I403*Beta_1+J403*Beta_2+K403*Beta_3+L403*Beta_4+M403*Beta_5</f>
        <v/>
      </c>
      <c r="P403" s="12">
        <f>N403-O403</f>
        <v/>
      </c>
      <c r="Q403" s="13">
        <f>EXP(O403)*Smearing_Factor</f>
        <v/>
      </c>
    </row>
    <row r="404">
      <c r="A404" t="n">
        <v>403</v>
      </c>
      <c r="B404" t="inlineStr">
        <is>
          <t>Health and welfare</t>
        </is>
      </c>
      <c r="C404" s="9" t="n">
        <v>2.78</v>
      </c>
      <c r="D404" t="n">
        <v>6</v>
      </c>
      <c r="E404" t="n">
        <v>0</v>
      </c>
      <c r="F404" t="n">
        <v>1</v>
      </c>
      <c r="G404" s="10" t="n">
        <v>4150</v>
      </c>
      <c r="H404" t="n">
        <v>1</v>
      </c>
      <c r="I404" s="11">
        <f>C404-CGPA_Mean</f>
        <v/>
      </c>
      <c r="J404">
        <f>D404</f>
        <v/>
      </c>
      <c r="K404">
        <f>E404</f>
        <v/>
      </c>
      <c r="L404">
        <f>F404</f>
        <v/>
      </c>
      <c r="M404" s="11">
        <f>I404*K404</f>
        <v/>
      </c>
      <c r="N404" s="12">
        <f>LN(G404)</f>
        <v/>
      </c>
      <c r="O404" s="12">
        <f>H404*Beta_0+I404*Beta_1+J404*Beta_2+K404*Beta_3+L404*Beta_4+M404*Beta_5</f>
        <v/>
      </c>
      <c r="P404" s="12">
        <f>N404-O404</f>
        <v/>
      </c>
      <c r="Q404" s="13">
        <f>EXP(O404)*Smearing_Factor</f>
        <v/>
      </c>
    </row>
    <row r="405">
      <c r="A405" t="n">
        <v>404</v>
      </c>
      <c r="B405" t="inlineStr">
        <is>
          <t>Information and communication technologies</t>
        </is>
      </c>
      <c r="C405" s="9" t="n">
        <v>3.22</v>
      </c>
      <c r="D405" t="n">
        <v>3</v>
      </c>
      <c r="E405" t="n">
        <v>1</v>
      </c>
      <c r="F405" t="n">
        <v>0</v>
      </c>
      <c r="G405" s="10" t="n">
        <v>3970</v>
      </c>
      <c r="H405" t="n">
        <v>1</v>
      </c>
      <c r="I405" s="11">
        <f>C405-CGPA_Mean</f>
        <v/>
      </c>
      <c r="J405">
        <f>D405</f>
        <v/>
      </c>
      <c r="K405">
        <f>E405</f>
        <v/>
      </c>
      <c r="L405">
        <f>F405</f>
        <v/>
      </c>
      <c r="M405" s="11">
        <f>I405*K405</f>
        <v/>
      </c>
      <c r="N405" s="12">
        <f>LN(G405)</f>
        <v/>
      </c>
      <c r="O405" s="12">
        <f>H405*Beta_0+I405*Beta_1+J405*Beta_2+K405*Beta_3+L405*Beta_4+M405*Beta_5</f>
        <v/>
      </c>
      <c r="P405" s="12">
        <f>N405-O405</f>
        <v/>
      </c>
      <c r="Q405" s="13">
        <f>EXP(O405)*Smearing_Factor</f>
        <v/>
      </c>
    </row>
    <row r="406">
      <c r="A406" t="n">
        <v>405</v>
      </c>
      <c r="B406" t="inlineStr">
        <is>
          <t>Agriculture, forestry, fisheries and veterinary</t>
        </is>
      </c>
      <c r="C406" s="9" t="n">
        <v>2.66</v>
      </c>
      <c r="D406" t="n">
        <v>3</v>
      </c>
      <c r="E406" t="n">
        <v>0</v>
      </c>
      <c r="F406" t="n">
        <v>1</v>
      </c>
      <c r="G406" s="10" t="n">
        <v>540</v>
      </c>
      <c r="H406" t="n">
        <v>1</v>
      </c>
      <c r="I406" s="11">
        <f>C406-CGPA_Mean</f>
        <v/>
      </c>
      <c r="J406">
        <f>D406</f>
        <v/>
      </c>
      <c r="K406">
        <f>E406</f>
        <v/>
      </c>
      <c r="L406">
        <f>F406</f>
        <v/>
      </c>
      <c r="M406" s="11">
        <f>I406*K406</f>
        <v/>
      </c>
      <c r="N406" s="12">
        <f>LN(G406)</f>
        <v/>
      </c>
      <c r="O406" s="12">
        <f>H406*Beta_0+I406*Beta_1+J406*Beta_2+K406*Beta_3+L406*Beta_4+M406*Beta_5</f>
        <v/>
      </c>
      <c r="P406" s="12">
        <f>N406-O406</f>
        <v/>
      </c>
      <c r="Q406" s="13">
        <f>EXP(O406)*Smearing_Factor</f>
        <v/>
      </c>
    </row>
    <row r="407">
      <c r="A407" t="n">
        <v>406</v>
      </c>
      <c r="B407" t="inlineStr">
        <is>
          <t>Business, administration and law</t>
        </is>
      </c>
      <c r="C407" s="9" t="n">
        <v>3.67</v>
      </c>
      <c r="D407" t="n">
        <v>3</v>
      </c>
      <c r="E407" t="n">
        <v>0</v>
      </c>
      <c r="F407" t="n">
        <v>0</v>
      </c>
      <c r="G407" s="10" t="n">
        <v>2760</v>
      </c>
      <c r="H407" t="n">
        <v>1</v>
      </c>
      <c r="I407" s="11">
        <f>C407-CGPA_Mean</f>
        <v/>
      </c>
      <c r="J407">
        <f>D407</f>
        <v/>
      </c>
      <c r="K407">
        <f>E407</f>
        <v/>
      </c>
      <c r="L407">
        <f>F407</f>
        <v/>
      </c>
      <c r="M407" s="11">
        <f>I407*K407</f>
        <v/>
      </c>
      <c r="N407" s="12">
        <f>LN(G407)</f>
        <v/>
      </c>
      <c r="O407" s="12">
        <f>H407*Beta_0+I407*Beta_1+J407*Beta_2+K407*Beta_3+L407*Beta_4+M407*Beta_5</f>
        <v/>
      </c>
      <c r="P407" s="12">
        <f>N407-O407</f>
        <v/>
      </c>
      <c r="Q407" s="13">
        <f>EXP(O407)*Smearing_Factor</f>
        <v/>
      </c>
    </row>
    <row r="408">
      <c r="A408" t="n">
        <v>407</v>
      </c>
      <c r="B408" t="inlineStr">
        <is>
          <t>Arts and humanities</t>
        </is>
      </c>
      <c r="C408" s="9" t="n">
        <v>3.22</v>
      </c>
      <c r="D408" t="n">
        <v>6</v>
      </c>
      <c r="E408" t="n">
        <v>0</v>
      </c>
      <c r="F408" t="n">
        <v>0</v>
      </c>
      <c r="G408" s="10" t="n">
        <v>2540</v>
      </c>
      <c r="H408" t="n">
        <v>1</v>
      </c>
      <c r="I408" s="11">
        <f>C408-CGPA_Mean</f>
        <v/>
      </c>
      <c r="J408">
        <f>D408</f>
        <v/>
      </c>
      <c r="K408">
        <f>E408</f>
        <v/>
      </c>
      <c r="L408">
        <f>F408</f>
        <v/>
      </c>
      <c r="M408" s="11">
        <f>I408*K408</f>
        <v/>
      </c>
      <c r="N408" s="12">
        <f>LN(G408)</f>
        <v/>
      </c>
      <c r="O408" s="12">
        <f>H408*Beta_0+I408*Beta_1+J408*Beta_2+K408*Beta_3+L408*Beta_4+M408*Beta_5</f>
        <v/>
      </c>
      <c r="P408" s="12">
        <f>N408-O408</f>
        <v/>
      </c>
      <c r="Q408" s="13">
        <f>EXP(O408)*Smearing_Factor</f>
        <v/>
      </c>
    </row>
    <row r="409">
      <c r="A409" t="n">
        <v>408</v>
      </c>
      <c r="B409" t="inlineStr">
        <is>
          <t>Education</t>
        </is>
      </c>
      <c r="C409" s="9" t="n">
        <v>2.79</v>
      </c>
      <c r="D409" t="n">
        <v>6</v>
      </c>
      <c r="E409" t="n">
        <v>0</v>
      </c>
      <c r="F409" t="n">
        <v>1</v>
      </c>
      <c r="G409" s="10" t="n">
        <v>2120</v>
      </c>
      <c r="H409" t="n">
        <v>1</v>
      </c>
      <c r="I409" s="11">
        <f>C409-CGPA_Mean</f>
        <v/>
      </c>
      <c r="J409">
        <f>D409</f>
        <v/>
      </c>
      <c r="K409">
        <f>E409</f>
        <v/>
      </c>
      <c r="L409">
        <f>F409</f>
        <v/>
      </c>
      <c r="M409" s="11">
        <f>I409*K409</f>
        <v/>
      </c>
      <c r="N409" s="12">
        <f>LN(G409)</f>
        <v/>
      </c>
      <c r="O409" s="12">
        <f>H409*Beta_0+I409*Beta_1+J409*Beta_2+K409*Beta_3+L409*Beta_4+M409*Beta_5</f>
        <v/>
      </c>
      <c r="P409" s="12">
        <f>N409-O409</f>
        <v/>
      </c>
      <c r="Q409" s="13">
        <f>EXP(O409)*Smearing_Factor</f>
        <v/>
      </c>
    </row>
    <row r="410">
      <c r="A410" t="n">
        <v>409</v>
      </c>
      <c r="B410" t="inlineStr">
        <is>
          <t>Health and welfare</t>
        </is>
      </c>
      <c r="C410" s="9" t="n">
        <v>3.42</v>
      </c>
      <c r="D410" t="n">
        <v>6</v>
      </c>
      <c r="E410" t="n">
        <v>0</v>
      </c>
      <c r="F410" t="n">
        <v>0</v>
      </c>
      <c r="G410" s="10" t="n">
        <v>1300</v>
      </c>
      <c r="H410" t="n">
        <v>1</v>
      </c>
      <c r="I410" s="11">
        <f>C410-CGPA_Mean</f>
        <v/>
      </c>
      <c r="J410">
        <f>D410</f>
        <v/>
      </c>
      <c r="K410">
        <f>E410</f>
        <v/>
      </c>
      <c r="L410">
        <f>F410</f>
        <v/>
      </c>
      <c r="M410" s="11">
        <f>I410*K410</f>
        <v/>
      </c>
      <c r="N410" s="12">
        <f>LN(G410)</f>
        <v/>
      </c>
      <c r="O410" s="12">
        <f>H410*Beta_0+I410*Beta_1+J410*Beta_2+K410*Beta_3+L410*Beta_4+M410*Beta_5</f>
        <v/>
      </c>
      <c r="P410" s="12">
        <f>N410-O410</f>
        <v/>
      </c>
      <c r="Q410" s="13">
        <f>EXP(O410)*Smearing_Factor</f>
        <v/>
      </c>
    </row>
    <row r="411">
      <c r="A411" t="n">
        <v>410</v>
      </c>
      <c r="B411" t="inlineStr">
        <is>
          <t>Education</t>
        </is>
      </c>
      <c r="C411" s="9" t="n">
        <v>3.17</v>
      </c>
      <c r="D411" t="n">
        <v>6</v>
      </c>
      <c r="E411" t="n">
        <v>0</v>
      </c>
      <c r="F411" t="n">
        <v>0</v>
      </c>
      <c r="G411" s="10" t="n">
        <v>1620</v>
      </c>
      <c r="H411" t="n">
        <v>1</v>
      </c>
      <c r="I411" s="11">
        <f>C411-CGPA_Mean</f>
        <v/>
      </c>
      <c r="J411">
        <f>D411</f>
        <v/>
      </c>
      <c r="K411">
        <f>E411</f>
        <v/>
      </c>
      <c r="L411">
        <f>F411</f>
        <v/>
      </c>
      <c r="M411" s="11">
        <f>I411*K411</f>
        <v/>
      </c>
      <c r="N411" s="12">
        <f>LN(G411)</f>
        <v/>
      </c>
      <c r="O411" s="12">
        <f>H411*Beta_0+I411*Beta_1+J411*Beta_2+K411*Beta_3+L411*Beta_4+M411*Beta_5</f>
        <v/>
      </c>
      <c r="P411" s="12">
        <f>N411-O411</f>
        <v/>
      </c>
      <c r="Q411" s="13">
        <f>EXP(O411)*Smearing_Factor</f>
        <v/>
      </c>
    </row>
    <row r="412">
      <c r="A412" t="n">
        <v>411</v>
      </c>
      <c r="B412" t="inlineStr">
        <is>
          <t>Social sciences, journalism and information</t>
        </is>
      </c>
      <c r="C412" s="9" t="n">
        <v>3.52</v>
      </c>
      <c r="D412" t="n">
        <v>9</v>
      </c>
      <c r="E412" t="n">
        <v>0</v>
      </c>
      <c r="F412" t="n">
        <v>0</v>
      </c>
      <c r="G412" s="10" t="n">
        <v>2320</v>
      </c>
      <c r="H412" t="n">
        <v>1</v>
      </c>
      <c r="I412" s="11">
        <f>C412-CGPA_Mean</f>
        <v/>
      </c>
      <c r="J412">
        <f>D412</f>
        <v/>
      </c>
      <c r="K412">
        <f>E412</f>
        <v/>
      </c>
      <c r="L412">
        <f>F412</f>
        <v/>
      </c>
      <c r="M412" s="11">
        <f>I412*K412</f>
        <v/>
      </c>
      <c r="N412" s="12">
        <f>LN(G412)</f>
        <v/>
      </c>
      <c r="O412" s="12">
        <f>H412*Beta_0+I412*Beta_1+J412*Beta_2+K412*Beta_3+L412*Beta_4+M412*Beta_5</f>
        <v/>
      </c>
      <c r="P412" s="12">
        <f>N412-O412</f>
        <v/>
      </c>
      <c r="Q412" s="13">
        <f>EXP(O412)*Smearing_Factor</f>
        <v/>
      </c>
    </row>
    <row r="413">
      <c r="A413" t="n">
        <v>412</v>
      </c>
      <c r="B413" t="inlineStr">
        <is>
          <t>Business, administration and law</t>
        </is>
      </c>
      <c r="C413" s="9" t="n">
        <v>3.45</v>
      </c>
      <c r="D413" t="n">
        <v>3</v>
      </c>
      <c r="E413" t="n">
        <v>0</v>
      </c>
      <c r="F413" t="n">
        <v>0</v>
      </c>
      <c r="G413" s="10" t="n">
        <v>2300</v>
      </c>
      <c r="H413" t="n">
        <v>1</v>
      </c>
      <c r="I413" s="11">
        <f>C413-CGPA_Mean</f>
        <v/>
      </c>
      <c r="J413">
        <f>D413</f>
        <v/>
      </c>
      <c r="K413">
        <f>E413</f>
        <v/>
      </c>
      <c r="L413">
        <f>F413</f>
        <v/>
      </c>
      <c r="M413" s="11">
        <f>I413*K413</f>
        <v/>
      </c>
      <c r="N413" s="12">
        <f>LN(G413)</f>
        <v/>
      </c>
      <c r="O413" s="12">
        <f>H413*Beta_0+I413*Beta_1+J413*Beta_2+K413*Beta_3+L413*Beta_4+M413*Beta_5</f>
        <v/>
      </c>
      <c r="P413" s="12">
        <f>N413-O413</f>
        <v/>
      </c>
      <c r="Q413" s="13">
        <f>EXP(O413)*Smearing_Factor</f>
        <v/>
      </c>
    </row>
    <row r="414">
      <c r="A414" t="n">
        <v>413</v>
      </c>
      <c r="B414" t="inlineStr">
        <is>
          <t>Social sciences, journalism and information</t>
        </is>
      </c>
      <c r="C414" s="9" t="n">
        <v>3.31</v>
      </c>
      <c r="D414" t="n">
        <v>3</v>
      </c>
      <c r="E414" t="n">
        <v>0</v>
      </c>
      <c r="F414" t="n">
        <v>1</v>
      </c>
      <c r="G414" s="10" t="n">
        <v>2520</v>
      </c>
      <c r="H414" t="n">
        <v>1</v>
      </c>
      <c r="I414" s="11">
        <f>C414-CGPA_Mean</f>
        <v/>
      </c>
      <c r="J414">
        <f>D414</f>
        <v/>
      </c>
      <c r="K414">
        <f>E414</f>
        <v/>
      </c>
      <c r="L414">
        <f>F414</f>
        <v/>
      </c>
      <c r="M414" s="11">
        <f>I414*K414</f>
        <v/>
      </c>
      <c r="N414" s="12">
        <f>LN(G414)</f>
        <v/>
      </c>
      <c r="O414" s="12">
        <f>H414*Beta_0+I414*Beta_1+J414*Beta_2+K414*Beta_3+L414*Beta_4+M414*Beta_5</f>
        <v/>
      </c>
      <c r="P414" s="12">
        <f>N414-O414</f>
        <v/>
      </c>
      <c r="Q414" s="13">
        <f>EXP(O414)*Smearing_Factor</f>
        <v/>
      </c>
    </row>
    <row r="415">
      <c r="A415" t="n">
        <v>414</v>
      </c>
      <c r="B415" t="inlineStr">
        <is>
          <t>Social sciences, journalism and information</t>
        </is>
      </c>
      <c r="C415" s="9" t="n">
        <v>3.15</v>
      </c>
      <c r="D415" t="n">
        <v>6</v>
      </c>
      <c r="E415" t="n">
        <v>0</v>
      </c>
      <c r="F415" t="n">
        <v>0</v>
      </c>
      <c r="G415" s="10" t="n">
        <v>3700</v>
      </c>
      <c r="H415" t="n">
        <v>1</v>
      </c>
      <c r="I415" s="11">
        <f>C415-CGPA_Mean</f>
        <v/>
      </c>
      <c r="J415">
        <f>D415</f>
        <v/>
      </c>
      <c r="K415">
        <f>E415</f>
        <v/>
      </c>
      <c r="L415">
        <f>F415</f>
        <v/>
      </c>
      <c r="M415" s="11">
        <f>I415*K415</f>
        <v/>
      </c>
      <c r="N415" s="12">
        <f>LN(G415)</f>
        <v/>
      </c>
      <c r="O415" s="12">
        <f>H415*Beta_0+I415*Beta_1+J415*Beta_2+K415*Beta_3+L415*Beta_4+M415*Beta_5</f>
        <v/>
      </c>
      <c r="P415" s="12">
        <f>N415-O415</f>
        <v/>
      </c>
      <c r="Q415" s="13">
        <f>EXP(O415)*Smearing_Factor</f>
        <v/>
      </c>
    </row>
    <row r="416">
      <c r="A416" t="n">
        <v>415</v>
      </c>
      <c r="B416" t="inlineStr">
        <is>
          <t>Natural sciences, mathematics and statistics</t>
        </is>
      </c>
      <c r="C416" s="9" t="n">
        <v>3.46</v>
      </c>
      <c r="D416" t="n">
        <v>6</v>
      </c>
      <c r="E416" t="n">
        <v>1</v>
      </c>
      <c r="F416" t="n">
        <v>0</v>
      </c>
      <c r="G416" s="10" t="n">
        <v>1240</v>
      </c>
      <c r="H416" t="n">
        <v>1</v>
      </c>
      <c r="I416" s="11">
        <f>C416-CGPA_Mean</f>
        <v/>
      </c>
      <c r="J416">
        <f>D416</f>
        <v/>
      </c>
      <c r="K416">
        <f>E416</f>
        <v/>
      </c>
      <c r="L416">
        <f>F416</f>
        <v/>
      </c>
      <c r="M416" s="11">
        <f>I416*K416</f>
        <v/>
      </c>
      <c r="N416" s="12">
        <f>LN(G416)</f>
        <v/>
      </c>
      <c r="O416" s="12">
        <f>H416*Beta_0+I416*Beta_1+J416*Beta_2+K416*Beta_3+L416*Beta_4+M416*Beta_5</f>
        <v/>
      </c>
      <c r="P416" s="12">
        <f>N416-O416</f>
        <v/>
      </c>
      <c r="Q416" s="13">
        <f>EXP(O416)*Smearing_Factor</f>
        <v/>
      </c>
    </row>
    <row r="417">
      <c r="A417" t="n">
        <v>416</v>
      </c>
      <c r="B417" t="inlineStr">
        <is>
          <t>Business, administration and law</t>
        </is>
      </c>
      <c r="C417" s="9" t="n">
        <v>3.11</v>
      </c>
      <c r="D417" t="n">
        <v>6</v>
      </c>
      <c r="E417" t="n">
        <v>0</v>
      </c>
      <c r="F417" t="n">
        <v>1</v>
      </c>
      <c r="G417" s="10" t="n">
        <v>2270</v>
      </c>
      <c r="H417" t="n">
        <v>1</v>
      </c>
      <c r="I417" s="11">
        <f>C417-CGPA_Mean</f>
        <v/>
      </c>
      <c r="J417">
        <f>D417</f>
        <v/>
      </c>
      <c r="K417">
        <f>E417</f>
        <v/>
      </c>
      <c r="L417">
        <f>F417</f>
        <v/>
      </c>
      <c r="M417" s="11">
        <f>I417*K417</f>
        <v/>
      </c>
      <c r="N417" s="12">
        <f>LN(G417)</f>
        <v/>
      </c>
      <c r="O417" s="12">
        <f>H417*Beta_0+I417*Beta_1+J417*Beta_2+K417*Beta_3+L417*Beta_4+M417*Beta_5</f>
        <v/>
      </c>
      <c r="P417" s="12">
        <f>N417-O417</f>
        <v/>
      </c>
      <c r="Q417" s="13">
        <f>EXP(O417)*Smearing_Factor</f>
        <v/>
      </c>
    </row>
    <row r="418">
      <c r="A418" t="n">
        <v>417</v>
      </c>
      <c r="B418" t="inlineStr">
        <is>
          <t>Engineering, manufacturing and construction</t>
        </is>
      </c>
      <c r="C418" s="9" t="n">
        <v>2.45</v>
      </c>
      <c r="D418" t="n">
        <v>9</v>
      </c>
      <c r="E418" t="n">
        <v>1</v>
      </c>
      <c r="F418" t="n">
        <v>0</v>
      </c>
      <c r="G418" s="10" t="n">
        <v>2330</v>
      </c>
      <c r="H418" t="n">
        <v>1</v>
      </c>
      <c r="I418" s="11">
        <f>C418-CGPA_Mean</f>
        <v/>
      </c>
      <c r="J418">
        <f>D418</f>
        <v/>
      </c>
      <c r="K418">
        <f>E418</f>
        <v/>
      </c>
      <c r="L418">
        <f>F418</f>
        <v/>
      </c>
      <c r="M418" s="11">
        <f>I418*K418</f>
        <v/>
      </c>
      <c r="N418" s="12">
        <f>LN(G418)</f>
        <v/>
      </c>
      <c r="O418" s="12">
        <f>H418*Beta_0+I418*Beta_1+J418*Beta_2+K418*Beta_3+L418*Beta_4+M418*Beta_5</f>
        <v/>
      </c>
      <c r="P418" s="12">
        <f>N418-O418</f>
        <v/>
      </c>
      <c r="Q418" s="13">
        <f>EXP(O418)*Smearing_Factor</f>
        <v/>
      </c>
    </row>
    <row r="419">
      <c r="A419" t="n">
        <v>418</v>
      </c>
      <c r="B419" t="inlineStr">
        <is>
          <t>Health and welfare</t>
        </is>
      </c>
      <c r="C419" s="9" t="n">
        <v>2.99</v>
      </c>
      <c r="D419" t="n">
        <v>6</v>
      </c>
      <c r="E419" t="n">
        <v>0</v>
      </c>
      <c r="F419" t="n">
        <v>0</v>
      </c>
      <c r="G419" s="10" t="n">
        <v>2580</v>
      </c>
      <c r="H419" t="n">
        <v>1</v>
      </c>
      <c r="I419" s="11">
        <f>C419-CGPA_Mean</f>
        <v/>
      </c>
      <c r="J419">
        <f>D419</f>
        <v/>
      </c>
      <c r="K419">
        <f>E419</f>
        <v/>
      </c>
      <c r="L419">
        <f>F419</f>
        <v/>
      </c>
      <c r="M419" s="11">
        <f>I419*K419</f>
        <v/>
      </c>
      <c r="N419" s="12">
        <f>LN(G419)</f>
        <v/>
      </c>
      <c r="O419" s="12">
        <f>H419*Beta_0+I419*Beta_1+J419*Beta_2+K419*Beta_3+L419*Beta_4+M419*Beta_5</f>
        <v/>
      </c>
      <c r="P419" s="12">
        <f>N419-O419</f>
        <v/>
      </c>
      <c r="Q419" s="13">
        <f>EXP(O419)*Smearing_Factor</f>
        <v/>
      </c>
    </row>
    <row r="420">
      <c r="A420" t="n">
        <v>419</v>
      </c>
      <c r="B420" t="inlineStr">
        <is>
          <t>Arts and humanities</t>
        </is>
      </c>
      <c r="C420" s="9" t="n">
        <v>3.4</v>
      </c>
      <c r="D420" t="n">
        <v>9</v>
      </c>
      <c r="E420" t="n">
        <v>0</v>
      </c>
      <c r="F420" t="n">
        <v>0</v>
      </c>
      <c r="G420" s="10" t="n">
        <v>1900</v>
      </c>
      <c r="H420" t="n">
        <v>1</v>
      </c>
      <c r="I420" s="11">
        <f>C420-CGPA_Mean</f>
        <v/>
      </c>
      <c r="J420">
        <f>D420</f>
        <v/>
      </c>
      <c r="K420">
        <f>E420</f>
        <v/>
      </c>
      <c r="L420">
        <f>F420</f>
        <v/>
      </c>
      <c r="M420" s="11">
        <f>I420*K420</f>
        <v/>
      </c>
      <c r="N420" s="12">
        <f>LN(G420)</f>
        <v/>
      </c>
      <c r="O420" s="12">
        <f>H420*Beta_0+I420*Beta_1+J420*Beta_2+K420*Beta_3+L420*Beta_4+M420*Beta_5</f>
        <v/>
      </c>
      <c r="P420" s="12">
        <f>N420-O420</f>
        <v/>
      </c>
      <c r="Q420" s="13">
        <f>EXP(O420)*Smearing_Factor</f>
        <v/>
      </c>
    </row>
    <row r="421">
      <c r="A421" t="n">
        <v>420</v>
      </c>
      <c r="B421" t="inlineStr">
        <is>
          <t>Engineering, manufacturing and construction</t>
        </is>
      </c>
      <c r="C421" s="9" t="n">
        <v>3.01</v>
      </c>
      <c r="D421" t="n">
        <v>9</v>
      </c>
      <c r="E421" t="n">
        <v>1</v>
      </c>
      <c r="F421" t="n">
        <v>1</v>
      </c>
      <c r="G421" s="10" t="n">
        <v>2970</v>
      </c>
      <c r="H421" t="n">
        <v>1</v>
      </c>
      <c r="I421" s="11">
        <f>C421-CGPA_Mean</f>
        <v/>
      </c>
      <c r="J421">
        <f>D421</f>
        <v/>
      </c>
      <c r="K421">
        <f>E421</f>
        <v/>
      </c>
      <c r="L421">
        <f>F421</f>
        <v/>
      </c>
      <c r="M421" s="11">
        <f>I421*K421</f>
        <v/>
      </c>
      <c r="N421" s="12">
        <f>LN(G421)</f>
        <v/>
      </c>
      <c r="O421" s="12">
        <f>H421*Beta_0+I421*Beta_1+J421*Beta_2+K421*Beta_3+L421*Beta_4+M421*Beta_5</f>
        <v/>
      </c>
      <c r="P421" s="12">
        <f>N421-O421</f>
        <v/>
      </c>
      <c r="Q421" s="13">
        <f>EXP(O421)*Smearing_Factor</f>
        <v/>
      </c>
    </row>
    <row r="422">
      <c r="A422" t="n">
        <v>421</v>
      </c>
      <c r="B422" t="inlineStr">
        <is>
          <t>Business, administration and law</t>
        </is>
      </c>
      <c r="C422" s="9" t="n">
        <v>3.26</v>
      </c>
      <c r="D422" t="n">
        <v>3</v>
      </c>
      <c r="E422" t="n">
        <v>0</v>
      </c>
      <c r="F422" t="n">
        <v>0</v>
      </c>
      <c r="G422" s="10" t="n">
        <v>1940</v>
      </c>
      <c r="H422" t="n">
        <v>1</v>
      </c>
      <c r="I422" s="11">
        <f>C422-CGPA_Mean</f>
        <v/>
      </c>
      <c r="J422">
        <f>D422</f>
        <v/>
      </c>
      <c r="K422">
        <f>E422</f>
        <v/>
      </c>
      <c r="L422">
        <f>F422</f>
        <v/>
      </c>
      <c r="M422" s="11">
        <f>I422*K422</f>
        <v/>
      </c>
      <c r="N422" s="12">
        <f>LN(G422)</f>
        <v/>
      </c>
      <c r="O422" s="12">
        <f>H422*Beta_0+I422*Beta_1+J422*Beta_2+K422*Beta_3+L422*Beta_4+M422*Beta_5</f>
        <v/>
      </c>
      <c r="P422" s="12">
        <f>N422-O422</f>
        <v/>
      </c>
      <c r="Q422" s="13">
        <f>EXP(O422)*Smearing_Factor</f>
        <v/>
      </c>
    </row>
    <row r="423">
      <c r="A423" t="n">
        <v>422</v>
      </c>
      <c r="B423" t="inlineStr">
        <is>
          <t>Arts and humanities</t>
        </is>
      </c>
      <c r="C423" s="9" t="n">
        <v>3.1</v>
      </c>
      <c r="D423" t="n">
        <v>3</v>
      </c>
      <c r="E423" t="n">
        <v>0</v>
      </c>
      <c r="F423" t="n">
        <v>1</v>
      </c>
      <c r="G423" s="10" t="n">
        <v>2590</v>
      </c>
      <c r="H423" t="n">
        <v>1</v>
      </c>
      <c r="I423" s="11">
        <f>C423-CGPA_Mean</f>
        <v/>
      </c>
      <c r="J423">
        <f>D423</f>
        <v/>
      </c>
      <c r="K423">
        <f>E423</f>
        <v/>
      </c>
      <c r="L423">
        <f>F423</f>
        <v/>
      </c>
      <c r="M423" s="11">
        <f>I423*K423</f>
        <v/>
      </c>
      <c r="N423" s="12">
        <f>LN(G423)</f>
        <v/>
      </c>
      <c r="O423" s="12">
        <f>H423*Beta_0+I423*Beta_1+J423*Beta_2+K423*Beta_3+L423*Beta_4+M423*Beta_5</f>
        <v/>
      </c>
      <c r="P423" s="12">
        <f>N423-O423</f>
        <v/>
      </c>
      <c r="Q423" s="13">
        <f>EXP(O423)*Smearing_Factor</f>
        <v/>
      </c>
    </row>
    <row r="424">
      <c r="A424" t="n">
        <v>423</v>
      </c>
      <c r="B424" t="inlineStr">
        <is>
          <t>Business, administration and law</t>
        </is>
      </c>
      <c r="C424" s="9" t="n">
        <v>3.56</v>
      </c>
      <c r="D424" t="n">
        <v>6</v>
      </c>
      <c r="E424" t="n">
        <v>0</v>
      </c>
      <c r="F424" t="n">
        <v>1</v>
      </c>
      <c r="G424" s="10" t="n">
        <v>3510</v>
      </c>
      <c r="H424" t="n">
        <v>1</v>
      </c>
      <c r="I424" s="11">
        <f>C424-CGPA_Mean</f>
        <v/>
      </c>
      <c r="J424">
        <f>D424</f>
        <v/>
      </c>
      <c r="K424">
        <f>E424</f>
        <v/>
      </c>
      <c r="L424">
        <f>F424</f>
        <v/>
      </c>
      <c r="M424" s="11">
        <f>I424*K424</f>
        <v/>
      </c>
      <c r="N424" s="12">
        <f>LN(G424)</f>
        <v/>
      </c>
      <c r="O424" s="12">
        <f>H424*Beta_0+I424*Beta_1+J424*Beta_2+K424*Beta_3+L424*Beta_4+M424*Beta_5</f>
        <v/>
      </c>
      <c r="P424" s="12">
        <f>N424-O424</f>
        <v/>
      </c>
      <c r="Q424" s="13">
        <f>EXP(O424)*Smearing_Factor</f>
        <v/>
      </c>
    </row>
    <row r="425">
      <c r="A425" t="n">
        <v>424</v>
      </c>
      <c r="B425" t="inlineStr">
        <is>
          <t>Arts and humanities</t>
        </is>
      </c>
      <c r="C425" s="9" t="n">
        <v>3.33</v>
      </c>
      <c r="D425" t="n">
        <v>6</v>
      </c>
      <c r="E425" t="n">
        <v>0</v>
      </c>
      <c r="F425" t="n">
        <v>1</v>
      </c>
      <c r="G425" s="10" t="n">
        <v>3720</v>
      </c>
      <c r="H425" t="n">
        <v>1</v>
      </c>
      <c r="I425" s="11">
        <f>C425-CGPA_Mean</f>
        <v/>
      </c>
      <c r="J425">
        <f>D425</f>
        <v/>
      </c>
      <c r="K425">
        <f>E425</f>
        <v/>
      </c>
      <c r="L425">
        <f>F425</f>
        <v/>
      </c>
      <c r="M425" s="11">
        <f>I425*K425</f>
        <v/>
      </c>
      <c r="N425" s="12">
        <f>LN(G425)</f>
        <v/>
      </c>
      <c r="O425" s="12">
        <f>H425*Beta_0+I425*Beta_1+J425*Beta_2+K425*Beta_3+L425*Beta_4+M425*Beta_5</f>
        <v/>
      </c>
      <c r="P425" s="12">
        <f>N425-O425</f>
        <v/>
      </c>
      <c r="Q425" s="13">
        <f>EXP(O425)*Smearing_Factor</f>
        <v/>
      </c>
    </row>
    <row r="426">
      <c r="A426" t="n">
        <v>425</v>
      </c>
      <c r="B426" t="inlineStr">
        <is>
          <t>Business, administration and law</t>
        </is>
      </c>
      <c r="C426" s="9" t="n">
        <v>3.02</v>
      </c>
      <c r="D426" t="n">
        <v>3</v>
      </c>
      <c r="E426" t="n">
        <v>0</v>
      </c>
      <c r="F426" t="n">
        <v>0</v>
      </c>
      <c r="G426" s="10" t="n">
        <v>1570</v>
      </c>
      <c r="H426" t="n">
        <v>1</v>
      </c>
      <c r="I426" s="11">
        <f>C426-CGPA_Mean</f>
        <v/>
      </c>
      <c r="J426">
        <f>D426</f>
        <v/>
      </c>
      <c r="K426">
        <f>E426</f>
        <v/>
      </c>
      <c r="L426">
        <f>F426</f>
        <v/>
      </c>
      <c r="M426" s="11">
        <f>I426*K426</f>
        <v/>
      </c>
      <c r="N426" s="12">
        <f>LN(G426)</f>
        <v/>
      </c>
      <c r="O426" s="12">
        <f>H426*Beta_0+I426*Beta_1+J426*Beta_2+K426*Beta_3+L426*Beta_4+M426*Beta_5</f>
        <v/>
      </c>
      <c r="P426" s="12">
        <f>N426-O426</f>
        <v/>
      </c>
      <c r="Q426" s="13">
        <f>EXP(O426)*Smearing_Factor</f>
        <v/>
      </c>
    </row>
    <row r="427">
      <c r="A427" t="n">
        <v>426</v>
      </c>
      <c r="B427" t="inlineStr">
        <is>
          <t>Business, administration and law</t>
        </is>
      </c>
      <c r="C427" s="9" t="n">
        <v>3.07</v>
      </c>
      <c r="D427" t="n">
        <v>3</v>
      </c>
      <c r="E427" t="n">
        <v>0</v>
      </c>
      <c r="F427" t="n">
        <v>1</v>
      </c>
      <c r="G427" s="10" t="n">
        <v>7050</v>
      </c>
      <c r="H427" t="n">
        <v>1</v>
      </c>
      <c r="I427" s="11">
        <f>C427-CGPA_Mean</f>
        <v/>
      </c>
      <c r="J427">
        <f>D427</f>
        <v/>
      </c>
      <c r="K427">
        <f>E427</f>
        <v/>
      </c>
      <c r="L427">
        <f>F427</f>
        <v/>
      </c>
      <c r="M427" s="11">
        <f>I427*K427</f>
        <v/>
      </c>
      <c r="N427" s="12">
        <f>LN(G427)</f>
        <v/>
      </c>
      <c r="O427" s="12">
        <f>H427*Beta_0+I427*Beta_1+J427*Beta_2+K427*Beta_3+L427*Beta_4+M427*Beta_5</f>
        <v/>
      </c>
      <c r="P427" s="12">
        <f>N427-O427</f>
        <v/>
      </c>
      <c r="Q427" s="13">
        <f>EXP(O427)*Smearing_Factor</f>
        <v/>
      </c>
    </row>
    <row r="428">
      <c r="A428" t="n">
        <v>427</v>
      </c>
      <c r="B428" t="inlineStr">
        <is>
          <t>Engineering, manufacturing and construction</t>
        </is>
      </c>
      <c r="C428" s="9" t="n">
        <v>3.48</v>
      </c>
      <c r="D428" t="n">
        <v>3</v>
      </c>
      <c r="E428" t="n">
        <v>1</v>
      </c>
      <c r="F428" t="n">
        <v>0</v>
      </c>
      <c r="G428" s="10" t="n">
        <v>2810</v>
      </c>
      <c r="H428" t="n">
        <v>1</v>
      </c>
      <c r="I428" s="11">
        <f>C428-CGPA_Mean</f>
        <v/>
      </c>
      <c r="J428">
        <f>D428</f>
        <v/>
      </c>
      <c r="K428">
        <f>E428</f>
        <v/>
      </c>
      <c r="L428">
        <f>F428</f>
        <v/>
      </c>
      <c r="M428" s="11">
        <f>I428*K428</f>
        <v/>
      </c>
      <c r="N428" s="12">
        <f>LN(G428)</f>
        <v/>
      </c>
      <c r="O428" s="12">
        <f>H428*Beta_0+I428*Beta_1+J428*Beta_2+K428*Beta_3+L428*Beta_4+M428*Beta_5</f>
        <v/>
      </c>
      <c r="P428" s="12">
        <f>N428-O428</f>
        <v/>
      </c>
      <c r="Q428" s="13">
        <f>EXP(O428)*Smearing_Factor</f>
        <v/>
      </c>
    </row>
    <row r="429">
      <c r="A429" t="n">
        <v>428</v>
      </c>
      <c r="B429" t="inlineStr">
        <is>
          <t>Information and communication technologies</t>
        </is>
      </c>
      <c r="C429" s="9" t="n">
        <v>3.59</v>
      </c>
      <c r="D429" t="n">
        <v>9</v>
      </c>
      <c r="E429" t="n">
        <v>1</v>
      </c>
      <c r="F429" t="n">
        <v>0</v>
      </c>
      <c r="G429" s="10" t="n">
        <v>1820</v>
      </c>
      <c r="H429" t="n">
        <v>1</v>
      </c>
      <c r="I429" s="11">
        <f>C429-CGPA_Mean</f>
        <v/>
      </c>
      <c r="J429">
        <f>D429</f>
        <v/>
      </c>
      <c r="K429">
        <f>E429</f>
        <v/>
      </c>
      <c r="L429">
        <f>F429</f>
        <v/>
      </c>
      <c r="M429" s="11">
        <f>I429*K429</f>
        <v/>
      </c>
      <c r="N429" s="12">
        <f>LN(G429)</f>
        <v/>
      </c>
      <c r="O429" s="12">
        <f>H429*Beta_0+I429*Beta_1+J429*Beta_2+K429*Beta_3+L429*Beta_4+M429*Beta_5</f>
        <v/>
      </c>
      <c r="P429" s="12">
        <f>N429-O429</f>
        <v/>
      </c>
      <c r="Q429" s="13">
        <f>EXP(O429)*Smearing_Factor</f>
        <v/>
      </c>
    </row>
    <row r="430">
      <c r="A430" t="n">
        <v>429</v>
      </c>
      <c r="B430" t="inlineStr">
        <is>
          <t>Engineering, manufacturing and construction</t>
        </is>
      </c>
      <c r="C430" s="9" t="n">
        <v>3.73</v>
      </c>
      <c r="D430" t="n">
        <v>9</v>
      </c>
      <c r="E430" t="n">
        <v>1</v>
      </c>
      <c r="F430" t="n">
        <v>1</v>
      </c>
      <c r="G430" s="10" t="n">
        <v>5000</v>
      </c>
      <c r="H430" t="n">
        <v>1</v>
      </c>
      <c r="I430" s="11">
        <f>C430-CGPA_Mean</f>
        <v/>
      </c>
      <c r="J430">
        <f>D430</f>
        <v/>
      </c>
      <c r="K430">
        <f>E430</f>
        <v/>
      </c>
      <c r="L430">
        <f>F430</f>
        <v/>
      </c>
      <c r="M430" s="11">
        <f>I430*K430</f>
        <v/>
      </c>
      <c r="N430" s="12">
        <f>LN(G430)</f>
        <v/>
      </c>
      <c r="O430" s="12">
        <f>H430*Beta_0+I430*Beta_1+J430*Beta_2+K430*Beta_3+L430*Beta_4+M430*Beta_5</f>
        <v/>
      </c>
      <c r="P430" s="12">
        <f>N430-O430</f>
        <v/>
      </c>
      <c r="Q430" s="13">
        <f>EXP(O430)*Smearing_Factor</f>
        <v/>
      </c>
    </row>
    <row r="431">
      <c r="A431" t="n">
        <v>430</v>
      </c>
      <c r="B431" t="inlineStr">
        <is>
          <t>Social sciences, journalism and information</t>
        </is>
      </c>
      <c r="C431" s="9" t="n">
        <v>2.86</v>
      </c>
      <c r="D431" t="n">
        <v>6</v>
      </c>
      <c r="E431" t="n">
        <v>0</v>
      </c>
      <c r="F431" t="n">
        <v>0</v>
      </c>
      <c r="G431" s="10" t="n">
        <v>1810</v>
      </c>
      <c r="H431" t="n">
        <v>1</v>
      </c>
      <c r="I431" s="11">
        <f>C431-CGPA_Mean</f>
        <v/>
      </c>
      <c r="J431">
        <f>D431</f>
        <v/>
      </c>
      <c r="K431">
        <f>E431</f>
        <v/>
      </c>
      <c r="L431">
        <f>F431</f>
        <v/>
      </c>
      <c r="M431" s="11">
        <f>I431*K431</f>
        <v/>
      </c>
      <c r="N431" s="12">
        <f>LN(G431)</f>
        <v/>
      </c>
      <c r="O431" s="12">
        <f>H431*Beta_0+I431*Beta_1+J431*Beta_2+K431*Beta_3+L431*Beta_4+M431*Beta_5</f>
        <v/>
      </c>
      <c r="P431" s="12">
        <f>N431-O431</f>
        <v/>
      </c>
      <c r="Q431" s="13">
        <f>EXP(O431)*Smearing_Factor</f>
        <v/>
      </c>
    </row>
    <row r="432">
      <c r="A432" t="n">
        <v>431</v>
      </c>
      <c r="B432" t="inlineStr">
        <is>
          <t>Arts and humanities</t>
        </is>
      </c>
      <c r="C432" s="9" t="n">
        <v>2.13</v>
      </c>
      <c r="D432" t="n">
        <v>6</v>
      </c>
      <c r="E432" t="n">
        <v>0</v>
      </c>
      <c r="F432" t="n">
        <v>0</v>
      </c>
      <c r="G432" s="10" t="n">
        <v>1010</v>
      </c>
      <c r="H432" t="n">
        <v>1</v>
      </c>
      <c r="I432" s="11">
        <f>C432-CGPA_Mean</f>
        <v/>
      </c>
      <c r="J432">
        <f>D432</f>
        <v/>
      </c>
      <c r="K432">
        <f>E432</f>
        <v/>
      </c>
      <c r="L432">
        <f>F432</f>
        <v/>
      </c>
      <c r="M432" s="11">
        <f>I432*K432</f>
        <v/>
      </c>
      <c r="N432" s="12">
        <f>LN(G432)</f>
        <v/>
      </c>
      <c r="O432" s="12">
        <f>H432*Beta_0+I432*Beta_1+J432*Beta_2+K432*Beta_3+L432*Beta_4+M432*Beta_5</f>
        <v/>
      </c>
      <c r="P432" s="12">
        <f>N432-O432</f>
        <v/>
      </c>
      <c r="Q432" s="13">
        <f>EXP(O432)*Smearing_Factor</f>
        <v/>
      </c>
    </row>
    <row r="433">
      <c r="A433" t="n">
        <v>432</v>
      </c>
      <c r="B433" t="inlineStr">
        <is>
          <t>Health and welfare</t>
        </is>
      </c>
      <c r="C433" s="9" t="n">
        <v>3.11</v>
      </c>
      <c r="D433" t="n">
        <v>6</v>
      </c>
      <c r="E433" t="n">
        <v>0</v>
      </c>
      <c r="F433" t="n">
        <v>1</v>
      </c>
      <c r="G433" s="10" t="n">
        <v>4730</v>
      </c>
      <c r="H433" t="n">
        <v>1</v>
      </c>
      <c r="I433" s="11">
        <f>C433-CGPA_Mean</f>
        <v/>
      </c>
      <c r="J433">
        <f>D433</f>
        <v/>
      </c>
      <c r="K433">
        <f>E433</f>
        <v/>
      </c>
      <c r="L433">
        <f>F433</f>
        <v/>
      </c>
      <c r="M433" s="11">
        <f>I433*K433</f>
        <v/>
      </c>
      <c r="N433" s="12">
        <f>LN(G433)</f>
        <v/>
      </c>
      <c r="O433" s="12">
        <f>H433*Beta_0+I433*Beta_1+J433*Beta_2+K433*Beta_3+L433*Beta_4+M433*Beta_5</f>
        <v/>
      </c>
      <c r="P433" s="12">
        <f>N433-O433</f>
        <v/>
      </c>
      <c r="Q433" s="13">
        <f>EXP(O433)*Smearing_Factor</f>
        <v/>
      </c>
    </row>
    <row r="434">
      <c r="A434" t="n">
        <v>433</v>
      </c>
      <c r="B434" t="inlineStr">
        <is>
          <t>Social sciences, journalism and information</t>
        </is>
      </c>
      <c r="C434" s="9" t="n">
        <v>3.37</v>
      </c>
      <c r="D434" t="n">
        <v>9</v>
      </c>
      <c r="E434" t="n">
        <v>0</v>
      </c>
      <c r="F434" t="n">
        <v>1</v>
      </c>
      <c r="G434" s="10" t="n">
        <v>2840</v>
      </c>
      <c r="H434" t="n">
        <v>1</v>
      </c>
      <c r="I434" s="11">
        <f>C434-CGPA_Mean</f>
        <v/>
      </c>
      <c r="J434">
        <f>D434</f>
        <v/>
      </c>
      <c r="K434">
        <f>E434</f>
        <v/>
      </c>
      <c r="L434">
        <f>F434</f>
        <v/>
      </c>
      <c r="M434" s="11">
        <f>I434*K434</f>
        <v/>
      </c>
      <c r="N434" s="12">
        <f>LN(G434)</f>
        <v/>
      </c>
      <c r="O434" s="12">
        <f>H434*Beta_0+I434*Beta_1+J434*Beta_2+K434*Beta_3+L434*Beta_4+M434*Beta_5</f>
        <v/>
      </c>
      <c r="P434" s="12">
        <f>N434-O434</f>
        <v/>
      </c>
      <c r="Q434" s="13">
        <f>EXP(O434)*Smearing_Factor</f>
        <v/>
      </c>
    </row>
    <row r="435">
      <c r="A435" t="n">
        <v>434</v>
      </c>
      <c r="B435" t="inlineStr">
        <is>
          <t>Engineering, manufacturing and construction</t>
        </is>
      </c>
      <c r="C435" s="9" t="n">
        <v>3.56</v>
      </c>
      <c r="D435" t="n">
        <v>6</v>
      </c>
      <c r="E435" t="n">
        <v>1</v>
      </c>
      <c r="F435" t="n">
        <v>0</v>
      </c>
      <c r="G435" s="10" t="n">
        <v>9160</v>
      </c>
      <c r="H435" t="n">
        <v>1</v>
      </c>
      <c r="I435" s="11">
        <f>C435-CGPA_Mean</f>
        <v/>
      </c>
      <c r="J435">
        <f>D435</f>
        <v/>
      </c>
      <c r="K435">
        <f>E435</f>
        <v/>
      </c>
      <c r="L435">
        <f>F435</f>
        <v/>
      </c>
      <c r="M435" s="11">
        <f>I435*K435</f>
        <v/>
      </c>
      <c r="N435" s="12">
        <f>LN(G435)</f>
        <v/>
      </c>
      <c r="O435" s="12">
        <f>H435*Beta_0+I435*Beta_1+J435*Beta_2+K435*Beta_3+L435*Beta_4+M435*Beta_5</f>
        <v/>
      </c>
      <c r="P435" s="12">
        <f>N435-O435</f>
        <v/>
      </c>
      <c r="Q435" s="13">
        <f>EXP(O435)*Smearing_Factor</f>
        <v/>
      </c>
    </row>
    <row r="436">
      <c r="A436" t="n">
        <v>435</v>
      </c>
      <c r="B436" t="inlineStr">
        <is>
          <t>Engineering, manufacturing and construction</t>
        </is>
      </c>
      <c r="C436" s="9" t="n">
        <v>3.16</v>
      </c>
      <c r="D436" t="n">
        <v>6</v>
      </c>
      <c r="E436" t="n">
        <v>1</v>
      </c>
      <c r="F436" t="n">
        <v>1</v>
      </c>
      <c r="G436" s="10" t="n">
        <v>5210</v>
      </c>
      <c r="H436" t="n">
        <v>1</v>
      </c>
      <c r="I436" s="11">
        <f>C436-CGPA_Mean</f>
        <v/>
      </c>
      <c r="J436">
        <f>D436</f>
        <v/>
      </c>
      <c r="K436">
        <f>E436</f>
        <v/>
      </c>
      <c r="L436">
        <f>F436</f>
        <v/>
      </c>
      <c r="M436" s="11">
        <f>I436*K436</f>
        <v/>
      </c>
      <c r="N436" s="12">
        <f>LN(G436)</f>
        <v/>
      </c>
      <c r="O436" s="12">
        <f>H436*Beta_0+I436*Beta_1+J436*Beta_2+K436*Beta_3+L436*Beta_4+M436*Beta_5</f>
        <v/>
      </c>
      <c r="P436" s="12">
        <f>N436-O436</f>
        <v/>
      </c>
      <c r="Q436" s="13">
        <f>EXP(O436)*Smearing_Factor</f>
        <v/>
      </c>
    </row>
    <row r="437">
      <c r="A437" t="n">
        <v>436</v>
      </c>
      <c r="B437" t="inlineStr">
        <is>
          <t>Information and communication technologies</t>
        </is>
      </c>
      <c r="C437" s="9" t="n">
        <v>3.22</v>
      </c>
      <c r="D437" t="n">
        <v>3</v>
      </c>
      <c r="E437" t="n">
        <v>1</v>
      </c>
      <c r="F437" t="n">
        <v>0</v>
      </c>
      <c r="G437" s="10" t="n">
        <v>4130</v>
      </c>
      <c r="H437" t="n">
        <v>1</v>
      </c>
      <c r="I437" s="11">
        <f>C437-CGPA_Mean</f>
        <v/>
      </c>
      <c r="J437">
        <f>D437</f>
        <v/>
      </c>
      <c r="K437">
        <f>E437</f>
        <v/>
      </c>
      <c r="L437">
        <f>F437</f>
        <v/>
      </c>
      <c r="M437" s="11">
        <f>I437*K437</f>
        <v/>
      </c>
      <c r="N437" s="12">
        <f>LN(G437)</f>
        <v/>
      </c>
      <c r="O437" s="12">
        <f>H437*Beta_0+I437*Beta_1+J437*Beta_2+K437*Beta_3+L437*Beta_4+M437*Beta_5</f>
        <v/>
      </c>
      <c r="P437" s="12">
        <f>N437-O437</f>
        <v/>
      </c>
      <c r="Q437" s="13">
        <f>EXP(O437)*Smearing_Factor</f>
        <v/>
      </c>
    </row>
    <row r="438">
      <c r="A438" t="n">
        <v>437</v>
      </c>
      <c r="B438" t="inlineStr">
        <is>
          <t>Business, administration and law</t>
        </is>
      </c>
      <c r="C438" s="9" t="n">
        <v>3.22</v>
      </c>
      <c r="D438" t="n">
        <v>3</v>
      </c>
      <c r="E438" t="n">
        <v>0</v>
      </c>
      <c r="F438" t="n">
        <v>1</v>
      </c>
      <c r="G438" s="10" t="n">
        <v>2130</v>
      </c>
      <c r="H438" t="n">
        <v>1</v>
      </c>
      <c r="I438" s="11">
        <f>C438-CGPA_Mean</f>
        <v/>
      </c>
      <c r="J438">
        <f>D438</f>
        <v/>
      </c>
      <c r="K438">
        <f>E438</f>
        <v/>
      </c>
      <c r="L438">
        <f>F438</f>
        <v/>
      </c>
      <c r="M438" s="11">
        <f>I438*K438</f>
        <v/>
      </c>
      <c r="N438" s="12">
        <f>LN(G438)</f>
        <v/>
      </c>
      <c r="O438" s="12">
        <f>H438*Beta_0+I438*Beta_1+J438*Beta_2+K438*Beta_3+L438*Beta_4+M438*Beta_5</f>
        <v/>
      </c>
      <c r="P438" s="12">
        <f>N438-O438</f>
        <v/>
      </c>
      <c r="Q438" s="13">
        <f>EXP(O438)*Smearing_Factor</f>
        <v/>
      </c>
    </row>
    <row r="439">
      <c r="A439" t="n">
        <v>438</v>
      </c>
      <c r="B439" t="inlineStr">
        <is>
          <t>Business, administration and law</t>
        </is>
      </c>
      <c r="C439" s="9" t="n">
        <v>3.24</v>
      </c>
      <c r="D439" t="n">
        <v>9</v>
      </c>
      <c r="E439" t="n">
        <v>0</v>
      </c>
      <c r="F439" t="n">
        <v>0</v>
      </c>
      <c r="G439" s="10" t="n">
        <v>3290</v>
      </c>
      <c r="H439" t="n">
        <v>1</v>
      </c>
      <c r="I439" s="11">
        <f>C439-CGPA_Mean</f>
        <v/>
      </c>
      <c r="J439">
        <f>D439</f>
        <v/>
      </c>
      <c r="K439">
        <f>E439</f>
        <v/>
      </c>
      <c r="L439">
        <f>F439</f>
        <v/>
      </c>
      <c r="M439" s="11">
        <f>I439*K439</f>
        <v/>
      </c>
      <c r="N439" s="12">
        <f>LN(G439)</f>
        <v/>
      </c>
      <c r="O439" s="12">
        <f>H439*Beta_0+I439*Beta_1+J439*Beta_2+K439*Beta_3+L439*Beta_4+M439*Beta_5</f>
        <v/>
      </c>
      <c r="P439" s="12">
        <f>N439-O439</f>
        <v/>
      </c>
      <c r="Q439" s="13">
        <f>EXP(O439)*Smearing_Factor</f>
        <v/>
      </c>
    </row>
    <row r="440">
      <c r="A440" t="n">
        <v>439</v>
      </c>
      <c r="B440" t="inlineStr">
        <is>
          <t>Business, administration and law</t>
        </is>
      </c>
      <c r="C440" s="9" t="n">
        <v>3.06</v>
      </c>
      <c r="D440" t="n">
        <v>3</v>
      </c>
      <c r="E440" t="n">
        <v>0</v>
      </c>
      <c r="F440" t="n">
        <v>0</v>
      </c>
      <c r="G440" s="10" t="n">
        <v>2080</v>
      </c>
      <c r="H440" t="n">
        <v>1</v>
      </c>
      <c r="I440" s="11">
        <f>C440-CGPA_Mean</f>
        <v/>
      </c>
      <c r="J440">
        <f>D440</f>
        <v/>
      </c>
      <c r="K440">
        <f>E440</f>
        <v/>
      </c>
      <c r="L440">
        <f>F440</f>
        <v/>
      </c>
      <c r="M440" s="11">
        <f>I440*K440</f>
        <v/>
      </c>
      <c r="N440" s="12">
        <f>LN(G440)</f>
        <v/>
      </c>
      <c r="O440" s="12">
        <f>H440*Beta_0+I440*Beta_1+J440*Beta_2+K440*Beta_3+L440*Beta_4+M440*Beta_5</f>
        <v/>
      </c>
      <c r="P440" s="12">
        <f>N440-O440</f>
        <v/>
      </c>
      <c r="Q440" s="13">
        <f>EXP(O440)*Smearing_Factor</f>
        <v/>
      </c>
    </row>
    <row r="441">
      <c r="A441" t="n">
        <v>440</v>
      </c>
      <c r="B441" t="inlineStr">
        <is>
          <t>Information and communication technologies</t>
        </is>
      </c>
      <c r="C441" s="9" t="n">
        <v>3.35</v>
      </c>
      <c r="D441" t="n">
        <v>6</v>
      </c>
      <c r="E441" t="n">
        <v>1</v>
      </c>
      <c r="F441" t="n">
        <v>1</v>
      </c>
      <c r="G441" s="10" t="n">
        <v>3330</v>
      </c>
      <c r="H441" t="n">
        <v>1</v>
      </c>
      <c r="I441" s="11">
        <f>C441-CGPA_Mean</f>
        <v/>
      </c>
      <c r="J441">
        <f>D441</f>
        <v/>
      </c>
      <c r="K441">
        <f>E441</f>
        <v/>
      </c>
      <c r="L441">
        <f>F441</f>
        <v/>
      </c>
      <c r="M441" s="11">
        <f>I441*K441</f>
        <v/>
      </c>
      <c r="N441" s="12">
        <f>LN(G441)</f>
        <v/>
      </c>
      <c r="O441" s="12">
        <f>H441*Beta_0+I441*Beta_1+J441*Beta_2+K441*Beta_3+L441*Beta_4+M441*Beta_5</f>
        <v/>
      </c>
      <c r="P441" s="12">
        <f>N441-O441</f>
        <v/>
      </c>
      <c r="Q441" s="13">
        <f>EXP(O441)*Smearing_Factor</f>
        <v/>
      </c>
    </row>
    <row r="442">
      <c r="A442" t="n">
        <v>441</v>
      </c>
      <c r="B442" t="inlineStr">
        <is>
          <t>Natural sciences, mathematics and statistics</t>
        </is>
      </c>
      <c r="C442" s="9" t="n">
        <v>3.37</v>
      </c>
      <c r="D442" t="n">
        <v>6</v>
      </c>
      <c r="E442" t="n">
        <v>1</v>
      </c>
      <c r="F442" t="n">
        <v>0</v>
      </c>
      <c r="G442" s="10" t="n">
        <v>3520</v>
      </c>
      <c r="H442" t="n">
        <v>1</v>
      </c>
      <c r="I442" s="11">
        <f>C442-CGPA_Mean</f>
        <v/>
      </c>
      <c r="J442">
        <f>D442</f>
        <v/>
      </c>
      <c r="K442">
        <f>E442</f>
        <v/>
      </c>
      <c r="L442">
        <f>F442</f>
        <v/>
      </c>
      <c r="M442" s="11">
        <f>I442*K442</f>
        <v/>
      </c>
      <c r="N442" s="12">
        <f>LN(G442)</f>
        <v/>
      </c>
      <c r="O442" s="12">
        <f>H442*Beta_0+I442*Beta_1+J442*Beta_2+K442*Beta_3+L442*Beta_4+M442*Beta_5</f>
        <v/>
      </c>
      <c r="P442" s="12">
        <f>N442-O442</f>
        <v/>
      </c>
      <c r="Q442" s="13">
        <f>EXP(O442)*Smearing_Factor</f>
        <v/>
      </c>
    </row>
    <row r="443">
      <c r="A443" t="n">
        <v>442</v>
      </c>
      <c r="B443" t="inlineStr">
        <is>
          <t>Business, administration and law</t>
        </is>
      </c>
      <c r="C443" s="9" t="n">
        <v>3.79</v>
      </c>
      <c r="D443" t="n">
        <v>9</v>
      </c>
      <c r="E443" t="n">
        <v>0</v>
      </c>
      <c r="F443" t="n">
        <v>0</v>
      </c>
      <c r="G443" s="10" t="n">
        <v>2400</v>
      </c>
      <c r="H443" t="n">
        <v>1</v>
      </c>
      <c r="I443" s="11">
        <f>C443-CGPA_Mean</f>
        <v/>
      </c>
      <c r="J443">
        <f>D443</f>
        <v/>
      </c>
      <c r="K443">
        <f>E443</f>
        <v/>
      </c>
      <c r="L443">
        <f>F443</f>
        <v/>
      </c>
      <c r="M443" s="11">
        <f>I443*K443</f>
        <v/>
      </c>
      <c r="N443" s="12">
        <f>LN(G443)</f>
        <v/>
      </c>
      <c r="O443" s="12">
        <f>H443*Beta_0+I443*Beta_1+J443*Beta_2+K443*Beta_3+L443*Beta_4+M443*Beta_5</f>
        <v/>
      </c>
      <c r="P443" s="12">
        <f>N443-O443</f>
        <v/>
      </c>
      <c r="Q443" s="13">
        <f>EXP(O443)*Smearing_Factor</f>
        <v/>
      </c>
    </row>
    <row r="444">
      <c r="A444" t="n">
        <v>443</v>
      </c>
      <c r="B444" t="inlineStr">
        <is>
          <t>Business, administration and law</t>
        </is>
      </c>
      <c r="C444" s="9" t="n">
        <v>3.42</v>
      </c>
      <c r="D444" t="n">
        <v>6</v>
      </c>
      <c r="E444" t="n">
        <v>0</v>
      </c>
      <c r="F444" t="n">
        <v>0</v>
      </c>
      <c r="G444" s="10" t="n">
        <v>1970</v>
      </c>
      <c r="H444" t="n">
        <v>1</v>
      </c>
      <c r="I444" s="11">
        <f>C444-CGPA_Mean</f>
        <v/>
      </c>
      <c r="J444">
        <f>D444</f>
        <v/>
      </c>
      <c r="K444">
        <f>E444</f>
        <v/>
      </c>
      <c r="L444">
        <f>F444</f>
        <v/>
      </c>
      <c r="M444" s="11">
        <f>I444*K444</f>
        <v/>
      </c>
      <c r="N444" s="12">
        <f>LN(G444)</f>
        <v/>
      </c>
      <c r="O444" s="12">
        <f>H444*Beta_0+I444*Beta_1+J444*Beta_2+K444*Beta_3+L444*Beta_4+M444*Beta_5</f>
        <v/>
      </c>
      <c r="P444" s="12">
        <f>N444-O444</f>
        <v/>
      </c>
      <c r="Q444" s="13">
        <f>EXP(O444)*Smearing_Factor</f>
        <v/>
      </c>
    </row>
    <row r="445">
      <c r="A445" t="n">
        <v>444</v>
      </c>
      <c r="B445" t="inlineStr">
        <is>
          <t>Engineering, manufacturing and construction</t>
        </is>
      </c>
      <c r="C445" s="9" t="n">
        <v>2.78</v>
      </c>
      <c r="D445" t="n">
        <v>6</v>
      </c>
      <c r="E445" t="n">
        <v>1</v>
      </c>
      <c r="F445" t="n">
        <v>0</v>
      </c>
      <c r="G445" s="10" t="n">
        <v>3440</v>
      </c>
      <c r="H445" t="n">
        <v>1</v>
      </c>
      <c r="I445" s="11">
        <f>C445-CGPA_Mean</f>
        <v/>
      </c>
      <c r="J445">
        <f>D445</f>
        <v/>
      </c>
      <c r="K445">
        <f>E445</f>
        <v/>
      </c>
      <c r="L445">
        <f>F445</f>
        <v/>
      </c>
      <c r="M445" s="11">
        <f>I445*K445</f>
        <v/>
      </c>
      <c r="N445" s="12">
        <f>LN(G445)</f>
        <v/>
      </c>
      <c r="O445" s="12">
        <f>H445*Beta_0+I445*Beta_1+J445*Beta_2+K445*Beta_3+L445*Beta_4+M445*Beta_5</f>
        <v/>
      </c>
      <c r="P445" s="12">
        <f>N445-O445</f>
        <v/>
      </c>
      <c r="Q445" s="13">
        <f>EXP(O445)*Smearing_Factor</f>
        <v/>
      </c>
    </row>
    <row r="446">
      <c r="A446" t="n">
        <v>445</v>
      </c>
      <c r="B446" t="inlineStr">
        <is>
          <t>Engineering, manufacturing and construction</t>
        </is>
      </c>
      <c r="C446" s="9" t="n">
        <v>3.28</v>
      </c>
      <c r="D446" t="n">
        <v>9</v>
      </c>
      <c r="E446" t="n">
        <v>1</v>
      </c>
      <c r="F446" t="n">
        <v>0</v>
      </c>
      <c r="G446" s="10" t="n">
        <v>2690</v>
      </c>
      <c r="H446" t="n">
        <v>1</v>
      </c>
      <c r="I446" s="11">
        <f>C446-CGPA_Mean</f>
        <v/>
      </c>
      <c r="J446">
        <f>D446</f>
        <v/>
      </c>
      <c r="K446">
        <f>E446</f>
        <v/>
      </c>
      <c r="L446">
        <f>F446</f>
        <v/>
      </c>
      <c r="M446" s="11">
        <f>I446*K446</f>
        <v/>
      </c>
      <c r="N446" s="12">
        <f>LN(G446)</f>
        <v/>
      </c>
      <c r="O446" s="12">
        <f>H446*Beta_0+I446*Beta_1+J446*Beta_2+K446*Beta_3+L446*Beta_4+M446*Beta_5</f>
        <v/>
      </c>
      <c r="P446" s="12">
        <f>N446-O446</f>
        <v/>
      </c>
      <c r="Q446" s="13">
        <f>EXP(O446)*Smearing_Factor</f>
        <v/>
      </c>
    </row>
    <row r="447">
      <c r="A447" t="n">
        <v>446</v>
      </c>
      <c r="B447" t="inlineStr">
        <is>
          <t>Agriculture, forestry, fisheries and veterinary</t>
        </is>
      </c>
      <c r="C447" s="9" t="n">
        <v>3.38</v>
      </c>
      <c r="D447" t="n">
        <v>9</v>
      </c>
      <c r="E447" t="n">
        <v>0</v>
      </c>
      <c r="F447" t="n">
        <v>1</v>
      </c>
      <c r="G447" s="10" t="n">
        <v>2950</v>
      </c>
      <c r="H447" t="n">
        <v>1</v>
      </c>
      <c r="I447" s="11">
        <f>C447-CGPA_Mean</f>
        <v/>
      </c>
      <c r="J447">
        <f>D447</f>
        <v/>
      </c>
      <c r="K447">
        <f>E447</f>
        <v/>
      </c>
      <c r="L447">
        <f>F447</f>
        <v/>
      </c>
      <c r="M447" s="11">
        <f>I447*K447</f>
        <v/>
      </c>
      <c r="N447" s="12">
        <f>LN(G447)</f>
        <v/>
      </c>
      <c r="O447" s="12">
        <f>H447*Beta_0+I447*Beta_1+J447*Beta_2+K447*Beta_3+L447*Beta_4+M447*Beta_5</f>
        <v/>
      </c>
      <c r="P447" s="12">
        <f>N447-O447</f>
        <v/>
      </c>
      <c r="Q447" s="13">
        <f>EXP(O447)*Smearing_Factor</f>
        <v/>
      </c>
    </row>
    <row r="448">
      <c r="A448" t="n">
        <v>447</v>
      </c>
      <c r="B448" t="inlineStr">
        <is>
          <t>Engineering, manufacturing and construction</t>
        </is>
      </c>
      <c r="C448" s="9" t="n">
        <v>3.53</v>
      </c>
      <c r="D448" t="n">
        <v>6</v>
      </c>
      <c r="E448" t="n">
        <v>1</v>
      </c>
      <c r="F448" t="n">
        <v>0</v>
      </c>
      <c r="G448" s="10" t="n">
        <v>2750</v>
      </c>
      <c r="H448" t="n">
        <v>1</v>
      </c>
      <c r="I448" s="11">
        <f>C448-CGPA_Mean</f>
        <v/>
      </c>
      <c r="J448">
        <f>D448</f>
        <v/>
      </c>
      <c r="K448">
        <f>E448</f>
        <v/>
      </c>
      <c r="L448">
        <f>F448</f>
        <v/>
      </c>
      <c r="M448" s="11">
        <f>I448*K448</f>
        <v/>
      </c>
      <c r="N448" s="12">
        <f>LN(G448)</f>
        <v/>
      </c>
      <c r="O448" s="12">
        <f>H448*Beta_0+I448*Beta_1+J448*Beta_2+K448*Beta_3+L448*Beta_4+M448*Beta_5</f>
        <v/>
      </c>
      <c r="P448" s="12">
        <f>N448-O448</f>
        <v/>
      </c>
      <c r="Q448" s="13">
        <f>EXP(O448)*Smearing_Factor</f>
        <v/>
      </c>
    </row>
    <row r="449">
      <c r="A449" t="n">
        <v>448</v>
      </c>
      <c r="B449" t="inlineStr">
        <is>
          <t>Engineering, manufacturing and construction</t>
        </is>
      </c>
      <c r="C449" s="9" t="n">
        <v>2.97</v>
      </c>
      <c r="D449" t="n">
        <v>6</v>
      </c>
      <c r="E449" t="n">
        <v>1</v>
      </c>
      <c r="F449" t="n">
        <v>1</v>
      </c>
      <c r="G449" s="10" t="n">
        <v>2690</v>
      </c>
      <c r="H449" t="n">
        <v>1</v>
      </c>
      <c r="I449" s="11">
        <f>C449-CGPA_Mean</f>
        <v/>
      </c>
      <c r="J449">
        <f>D449</f>
        <v/>
      </c>
      <c r="K449">
        <f>E449</f>
        <v/>
      </c>
      <c r="L449">
        <f>F449</f>
        <v/>
      </c>
      <c r="M449" s="11">
        <f>I449*K449</f>
        <v/>
      </c>
      <c r="N449" s="12">
        <f>LN(G449)</f>
        <v/>
      </c>
      <c r="O449" s="12">
        <f>H449*Beta_0+I449*Beta_1+J449*Beta_2+K449*Beta_3+L449*Beta_4+M449*Beta_5</f>
        <v/>
      </c>
      <c r="P449" s="12">
        <f>N449-O449</f>
        <v/>
      </c>
      <c r="Q449" s="13">
        <f>EXP(O449)*Smearing_Factor</f>
        <v/>
      </c>
    </row>
    <row r="450">
      <c r="A450" t="n">
        <v>449</v>
      </c>
      <c r="B450" t="inlineStr">
        <is>
          <t>Business, administration and law</t>
        </is>
      </c>
      <c r="C450" s="9" t="n">
        <v>3.13</v>
      </c>
      <c r="D450" t="n">
        <v>6</v>
      </c>
      <c r="E450" t="n">
        <v>0</v>
      </c>
      <c r="F450" t="n">
        <v>0</v>
      </c>
      <c r="G450" s="10" t="n">
        <v>2100</v>
      </c>
      <c r="H450" t="n">
        <v>1</v>
      </c>
      <c r="I450" s="11">
        <f>C450-CGPA_Mean</f>
        <v/>
      </c>
      <c r="J450">
        <f>D450</f>
        <v/>
      </c>
      <c r="K450">
        <f>E450</f>
        <v/>
      </c>
      <c r="L450">
        <f>F450</f>
        <v/>
      </c>
      <c r="M450" s="11">
        <f>I450*K450</f>
        <v/>
      </c>
      <c r="N450" s="12">
        <f>LN(G450)</f>
        <v/>
      </c>
      <c r="O450" s="12">
        <f>H450*Beta_0+I450*Beta_1+J450*Beta_2+K450*Beta_3+L450*Beta_4+M450*Beta_5</f>
        <v/>
      </c>
      <c r="P450" s="12">
        <f>N450-O450</f>
        <v/>
      </c>
      <c r="Q450" s="13">
        <f>EXP(O450)*Smearing_Factor</f>
        <v/>
      </c>
    </row>
    <row r="451">
      <c r="A451" t="n">
        <v>450</v>
      </c>
      <c r="B451" t="inlineStr">
        <is>
          <t>Business, administration and law</t>
        </is>
      </c>
      <c r="C451" s="9" t="n">
        <v>3.31</v>
      </c>
      <c r="D451" t="n">
        <v>3</v>
      </c>
      <c r="E451" t="n">
        <v>0</v>
      </c>
      <c r="F451" t="n">
        <v>1</v>
      </c>
      <c r="G451" s="10" t="n">
        <v>3920</v>
      </c>
      <c r="H451" t="n">
        <v>1</v>
      </c>
      <c r="I451" s="11">
        <f>C451-CGPA_Mean</f>
        <v/>
      </c>
      <c r="J451">
        <f>D451</f>
        <v/>
      </c>
      <c r="K451">
        <f>E451</f>
        <v/>
      </c>
      <c r="L451">
        <f>F451</f>
        <v/>
      </c>
      <c r="M451" s="11">
        <f>I451*K451</f>
        <v/>
      </c>
      <c r="N451" s="12">
        <f>LN(G451)</f>
        <v/>
      </c>
      <c r="O451" s="12">
        <f>H451*Beta_0+I451*Beta_1+J451*Beta_2+K451*Beta_3+L451*Beta_4+M451*Beta_5</f>
        <v/>
      </c>
      <c r="P451" s="12">
        <f>N451-O451</f>
        <v/>
      </c>
      <c r="Q451" s="13">
        <f>EXP(O451)*Smearing_Factor</f>
        <v/>
      </c>
    </row>
    <row r="452">
      <c r="A452" t="n">
        <v>451</v>
      </c>
      <c r="B452" t="inlineStr">
        <is>
          <t>Business, administration and law</t>
        </is>
      </c>
      <c r="C452" s="9" t="n">
        <v>3.44</v>
      </c>
      <c r="D452" t="n">
        <v>3</v>
      </c>
      <c r="E452" t="n">
        <v>0</v>
      </c>
      <c r="F452" t="n">
        <v>1</v>
      </c>
      <c r="G452" s="10" t="n">
        <v>2420</v>
      </c>
      <c r="H452" t="n">
        <v>1</v>
      </c>
      <c r="I452" s="11">
        <f>C452-CGPA_Mean</f>
        <v/>
      </c>
      <c r="J452">
        <f>D452</f>
        <v/>
      </c>
      <c r="K452">
        <f>E452</f>
        <v/>
      </c>
      <c r="L452">
        <f>F452</f>
        <v/>
      </c>
      <c r="M452" s="11">
        <f>I452*K452</f>
        <v/>
      </c>
      <c r="N452" s="12">
        <f>LN(G452)</f>
        <v/>
      </c>
      <c r="O452" s="12">
        <f>H452*Beta_0+I452*Beta_1+J452*Beta_2+K452*Beta_3+L452*Beta_4+M452*Beta_5</f>
        <v/>
      </c>
      <c r="P452" s="12">
        <f>N452-O452</f>
        <v/>
      </c>
      <c r="Q452" s="13">
        <f>EXP(O452)*Smearing_Factor</f>
        <v/>
      </c>
    </row>
    <row r="453">
      <c r="A453" t="n">
        <v>452</v>
      </c>
      <c r="B453" t="inlineStr">
        <is>
          <t>Education</t>
        </is>
      </c>
      <c r="C453" s="9" t="n">
        <v>2.42</v>
      </c>
      <c r="D453" t="n">
        <v>6</v>
      </c>
      <c r="E453" t="n">
        <v>0</v>
      </c>
      <c r="F453" t="n">
        <v>0</v>
      </c>
      <c r="G453" s="10" t="n">
        <v>1930</v>
      </c>
      <c r="H453" t="n">
        <v>1</v>
      </c>
      <c r="I453" s="11">
        <f>C453-CGPA_Mean</f>
        <v/>
      </c>
      <c r="J453">
        <f>D453</f>
        <v/>
      </c>
      <c r="K453">
        <f>E453</f>
        <v/>
      </c>
      <c r="L453">
        <f>F453</f>
        <v/>
      </c>
      <c r="M453" s="11">
        <f>I453*K453</f>
        <v/>
      </c>
      <c r="N453" s="12">
        <f>LN(G453)</f>
        <v/>
      </c>
      <c r="O453" s="12">
        <f>H453*Beta_0+I453*Beta_1+J453*Beta_2+K453*Beta_3+L453*Beta_4+M453*Beta_5</f>
        <v/>
      </c>
      <c r="P453" s="12">
        <f>N453-O453</f>
        <v/>
      </c>
      <c r="Q453" s="13">
        <f>EXP(O453)*Smearing_Factor</f>
        <v/>
      </c>
    </row>
    <row r="454">
      <c r="A454" t="n">
        <v>453</v>
      </c>
      <c r="B454" t="inlineStr">
        <is>
          <t>Business, administration and law</t>
        </is>
      </c>
      <c r="C454" s="9" t="n">
        <v>3.18</v>
      </c>
      <c r="D454" t="n">
        <v>6</v>
      </c>
      <c r="E454" t="n">
        <v>0</v>
      </c>
      <c r="F454" t="n">
        <v>0</v>
      </c>
      <c r="G454" s="10" t="n">
        <v>2770</v>
      </c>
      <c r="H454" t="n">
        <v>1</v>
      </c>
      <c r="I454" s="11">
        <f>C454-CGPA_Mean</f>
        <v/>
      </c>
      <c r="J454">
        <f>D454</f>
        <v/>
      </c>
      <c r="K454">
        <f>E454</f>
        <v/>
      </c>
      <c r="L454">
        <f>F454</f>
        <v/>
      </c>
      <c r="M454" s="11">
        <f>I454*K454</f>
        <v/>
      </c>
      <c r="N454" s="12">
        <f>LN(G454)</f>
        <v/>
      </c>
      <c r="O454" s="12">
        <f>H454*Beta_0+I454*Beta_1+J454*Beta_2+K454*Beta_3+L454*Beta_4+M454*Beta_5</f>
        <v/>
      </c>
      <c r="P454" s="12">
        <f>N454-O454</f>
        <v/>
      </c>
      <c r="Q454" s="13">
        <f>EXP(O454)*Smearing_Factor</f>
        <v/>
      </c>
    </row>
    <row r="455">
      <c r="A455" t="n">
        <v>454</v>
      </c>
      <c r="B455" t="inlineStr">
        <is>
          <t>Information and communication technologies</t>
        </is>
      </c>
      <c r="C455" s="9" t="n">
        <v>3.65</v>
      </c>
      <c r="D455" t="n">
        <v>6</v>
      </c>
      <c r="E455" t="n">
        <v>1</v>
      </c>
      <c r="F455" t="n">
        <v>0</v>
      </c>
      <c r="G455" s="10" t="n">
        <v>3690</v>
      </c>
      <c r="H455" t="n">
        <v>1</v>
      </c>
      <c r="I455" s="11">
        <f>C455-CGPA_Mean</f>
        <v/>
      </c>
      <c r="J455">
        <f>D455</f>
        <v/>
      </c>
      <c r="K455">
        <f>E455</f>
        <v/>
      </c>
      <c r="L455">
        <f>F455</f>
        <v/>
      </c>
      <c r="M455" s="11">
        <f>I455*K455</f>
        <v/>
      </c>
      <c r="N455" s="12">
        <f>LN(G455)</f>
        <v/>
      </c>
      <c r="O455" s="12">
        <f>H455*Beta_0+I455*Beta_1+J455*Beta_2+K455*Beta_3+L455*Beta_4+M455*Beta_5</f>
        <v/>
      </c>
      <c r="P455" s="12">
        <f>N455-O455</f>
        <v/>
      </c>
      <c r="Q455" s="13">
        <f>EXP(O455)*Smearing_Factor</f>
        <v/>
      </c>
    </row>
    <row r="456">
      <c r="A456" t="n">
        <v>455</v>
      </c>
      <c r="B456" t="inlineStr">
        <is>
          <t>Business, administration and law</t>
        </is>
      </c>
      <c r="C456" s="9" t="n">
        <v>3.27</v>
      </c>
      <c r="D456" t="n">
        <v>6</v>
      </c>
      <c r="E456" t="n">
        <v>0</v>
      </c>
      <c r="F456" t="n">
        <v>1</v>
      </c>
      <c r="G456" s="10" t="n">
        <v>2750</v>
      </c>
      <c r="H456" t="n">
        <v>1</v>
      </c>
      <c r="I456" s="11">
        <f>C456-CGPA_Mean</f>
        <v/>
      </c>
      <c r="J456">
        <f>D456</f>
        <v/>
      </c>
      <c r="K456">
        <f>E456</f>
        <v/>
      </c>
      <c r="L456">
        <f>F456</f>
        <v/>
      </c>
      <c r="M456" s="11">
        <f>I456*K456</f>
        <v/>
      </c>
      <c r="N456" s="12">
        <f>LN(G456)</f>
        <v/>
      </c>
      <c r="O456" s="12">
        <f>H456*Beta_0+I456*Beta_1+J456*Beta_2+K456*Beta_3+L456*Beta_4+M456*Beta_5</f>
        <v/>
      </c>
      <c r="P456" s="12">
        <f>N456-O456</f>
        <v/>
      </c>
      <c r="Q456" s="13">
        <f>EXP(O456)*Smearing_Factor</f>
        <v/>
      </c>
    </row>
    <row r="457">
      <c r="A457" t="n">
        <v>456</v>
      </c>
      <c r="B457" t="inlineStr">
        <is>
          <t>Engineering, manufacturing and construction</t>
        </is>
      </c>
      <c r="C457" s="9" t="n">
        <v>3.32</v>
      </c>
      <c r="D457" t="n">
        <v>3</v>
      </c>
      <c r="E457" t="n">
        <v>1</v>
      </c>
      <c r="F457" t="n">
        <v>1</v>
      </c>
      <c r="G457" s="10" t="n">
        <v>2800</v>
      </c>
      <c r="H457" t="n">
        <v>1</v>
      </c>
      <c r="I457" s="11">
        <f>C457-CGPA_Mean</f>
        <v/>
      </c>
      <c r="J457">
        <f>D457</f>
        <v/>
      </c>
      <c r="K457">
        <f>E457</f>
        <v/>
      </c>
      <c r="L457">
        <f>F457</f>
        <v/>
      </c>
      <c r="M457" s="11">
        <f>I457*K457</f>
        <v/>
      </c>
      <c r="N457" s="12">
        <f>LN(G457)</f>
        <v/>
      </c>
      <c r="O457" s="12">
        <f>H457*Beta_0+I457*Beta_1+J457*Beta_2+K457*Beta_3+L457*Beta_4+M457*Beta_5</f>
        <v/>
      </c>
      <c r="P457" s="12">
        <f>N457-O457</f>
        <v/>
      </c>
      <c r="Q457" s="13">
        <f>EXP(O457)*Smearing_Factor</f>
        <v/>
      </c>
    </row>
    <row r="458">
      <c r="A458" t="n">
        <v>457</v>
      </c>
      <c r="B458" t="inlineStr">
        <is>
          <t>Education</t>
        </is>
      </c>
      <c r="C458" s="9" t="n">
        <v>2.69</v>
      </c>
      <c r="D458" t="n">
        <v>3</v>
      </c>
      <c r="E458" t="n">
        <v>0</v>
      </c>
      <c r="F458" t="n">
        <v>0</v>
      </c>
      <c r="G458" s="10" t="n">
        <v>2100</v>
      </c>
      <c r="H458" t="n">
        <v>1</v>
      </c>
      <c r="I458" s="11">
        <f>C458-CGPA_Mean</f>
        <v/>
      </c>
      <c r="J458">
        <f>D458</f>
        <v/>
      </c>
      <c r="K458">
        <f>E458</f>
        <v/>
      </c>
      <c r="L458">
        <f>F458</f>
        <v/>
      </c>
      <c r="M458" s="11">
        <f>I458*K458</f>
        <v/>
      </c>
      <c r="N458" s="12">
        <f>LN(G458)</f>
        <v/>
      </c>
      <c r="O458" s="12">
        <f>H458*Beta_0+I458*Beta_1+J458*Beta_2+K458*Beta_3+L458*Beta_4+M458*Beta_5</f>
        <v/>
      </c>
      <c r="P458" s="12">
        <f>N458-O458</f>
        <v/>
      </c>
      <c r="Q458" s="13">
        <f>EXP(O458)*Smearing_Factor</f>
        <v/>
      </c>
    </row>
    <row r="459">
      <c r="A459" t="n">
        <v>458</v>
      </c>
      <c r="B459" t="inlineStr">
        <is>
          <t>Business, administration and law</t>
        </is>
      </c>
      <c r="C459" s="9" t="n">
        <v>3.47</v>
      </c>
      <c r="D459" t="n">
        <v>6</v>
      </c>
      <c r="E459" t="n">
        <v>0</v>
      </c>
      <c r="F459" t="n">
        <v>1</v>
      </c>
      <c r="G459" s="10" t="n">
        <v>10110</v>
      </c>
      <c r="H459" t="n">
        <v>1</v>
      </c>
      <c r="I459" s="11">
        <f>C459-CGPA_Mean</f>
        <v/>
      </c>
      <c r="J459">
        <f>D459</f>
        <v/>
      </c>
      <c r="K459">
        <f>E459</f>
        <v/>
      </c>
      <c r="L459">
        <f>F459</f>
        <v/>
      </c>
      <c r="M459" s="11">
        <f>I459*K459</f>
        <v/>
      </c>
      <c r="N459" s="12">
        <f>LN(G459)</f>
        <v/>
      </c>
      <c r="O459" s="12">
        <f>H459*Beta_0+I459*Beta_1+J459*Beta_2+K459*Beta_3+L459*Beta_4+M459*Beta_5</f>
        <v/>
      </c>
      <c r="P459" s="12">
        <f>N459-O459</f>
        <v/>
      </c>
      <c r="Q459" s="13">
        <f>EXP(O459)*Smearing_Factor</f>
        <v/>
      </c>
    </row>
    <row r="460">
      <c r="A460" t="n">
        <v>459</v>
      </c>
      <c r="B460" t="inlineStr">
        <is>
          <t>Business, administration and law</t>
        </is>
      </c>
      <c r="C460" s="9" t="n">
        <v>3.37</v>
      </c>
      <c r="D460" t="n">
        <v>6</v>
      </c>
      <c r="E460" t="n">
        <v>0</v>
      </c>
      <c r="F460" t="n">
        <v>1</v>
      </c>
      <c r="G460" s="10" t="n">
        <v>4140</v>
      </c>
      <c r="H460" t="n">
        <v>1</v>
      </c>
      <c r="I460" s="11">
        <f>C460-CGPA_Mean</f>
        <v/>
      </c>
      <c r="J460">
        <f>D460</f>
        <v/>
      </c>
      <c r="K460">
        <f>E460</f>
        <v/>
      </c>
      <c r="L460">
        <f>F460</f>
        <v/>
      </c>
      <c r="M460" s="11">
        <f>I460*K460</f>
        <v/>
      </c>
      <c r="N460" s="12">
        <f>LN(G460)</f>
        <v/>
      </c>
      <c r="O460" s="12">
        <f>H460*Beta_0+I460*Beta_1+J460*Beta_2+K460*Beta_3+L460*Beta_4+M460*Beta_5</f>
        <v/>
      </c>
      <c r="P460" s="12">
        <f>N460-O460</f>
        <v/>
      </c>
      <c r="Q460" s="13">
        <f>EXP(O460)*Smearing_Factor</f>
        <v/>
      </c>
    </row>
    <row r="461">
      <c r="A461" t="n">
        <v>460</v>
      </c>
      <c r="B461" t="inlineStr">
        <is>
          <t>Business, administration and law</t>
        </is>
      </c>
      <c r="C461" s="9" t="n">
        <v>2.98</v>
      </c>
      <c r="D461" t="n">
        <v>3</v>
      </c>
      <c r="E461" t="n">
        <v>0</v>
      </c>
      <c r="F461" t="n">
        <v>0</v>
      </c>
      <c r="G461" s="10" t="n">
        <v>2140</v>
      </c>
      <c r="H461" t="n">
        <v>1</v>
      </c>
      <c r="I461" s="11">
        <f>C461-CGPA_Mean</f>
        <v/>
      </c>
      <c r="J461">
        <f>D461</f>
        <v/>
      </c>
      <c r="K461">
        <f>E461</f>
        <v/>
      </c>
      <c r="L461">
        <f>F461</f>
        <v/>
      </c>
      <c r="M461" s="11">
        <f>I461*K461</f>
        <v/>
      </c>
      <c r="N461" s="12">
        <f>LN(G461)</f>
        <v/>
      </c>
      <c r="O461" s="12">
        <f>H461*Beta_0+I461*Beta_1+J461*Beta_2+K461*Beta_3+L461*Beta_4+M461*Beta_5</f>
        <v/>
      </c>
      <c r="P461" s="12">
        <f>N461-O461</f>
        <v/>
      </c>
      <c r="Q461" s="13">
        <f>EXP(O461)*Smearing_Factor</f>
        <v/>
      </c>
    </row>
    <row r="462">
      <c r="A462" t="n">
        <v>461</v>
      </c>
      <c r="B462" t="inlineStr">
        <is>
          <t>Arts and humanities</t>
        </is>
      </c>
      <c r="C462" s="9" t="n">
        <v>2.65</v>
      </c>
      <c r="D462" t="n">
        <v>6</v>
      </c>
      <c r="E462" t="n">
        <v>0</v>
      </c>
      <c r="F462" t="n">
        <v>0</v>
      </c>
      <c r="G462" s="10" t="n">
        <v>2680</v>
      </c>
      <c r="H462" t="n">
        <v>1</v>
      </c>
      <c r="I462" s="11">
        <f>C462-CGPA_Mean</f>
        <v/>
      </c>
      <c r="J462">
        <f>D462</f>
        <v/>
      </c>
      <c r="K462">
        <f>E462</f>
        <v/>
      </c>
      <c r="L462">
        <f>F462</f>
        <v/>
      </c>
      <c r="M462" s="11">
        <f>I462*K462</f>
        <v/>
      </c>
      <c r="N462" s="12">
        <f>LN(G462)</f>
        <v/>
      </c>
      <c r="O462" s="12">
        <f>H462*Beta_0+I462*Beta_1+J462*Beta_2+K462*Beta_3+L462*Beta_4+M462*Beta_5</f>
        <v/>
      </c>
      <c r="P462" s="12">
        <f>N462-O462</f>
        <v/>
      </c>
      <c r="Q462" s="13">
        <f>EXP(O462)*Smearing_Factor</f>
        <v/>
      </c>
    </row>
    <row r="463">
      <c r="A463" t="n">
        <v>462</v>
      </c>
      <c r="B463" t="inlineStr">
        <is>
          <t>Engineering, manufacturing and construction</t>
        </is>
      </c>
      <c r="C463" s="9" t="n">
        <v>3.17</v>
      </c>
      <c r="D463" t="n">
        <v>3</v>
      </c>
      <c r="E463" t="n">
        <v>1</v>
      </c>
      <c r="F463" t="n">
        <v>0</v>
      </c>
      <c r="G463" s="10" t="n">
        <v>2030</v>
      </c>
      <c r="H463" t="n">
        <v>1</v>
      </c>
      <c r="I463" s="11">
        <f>C463-CGPA_Mean</f>
        <v/>
      </c>
      <c r="J463">
        <f>D463</f>
        <v/>
      </c>
      <c r="K463">
        <f>E463</f>
        <v/>
      </c>
      <c r="L463">
        <f>F463</f>
        <v/>
      </c>
      <c r="M463" s="11">
        <f>I463*K463</f>
        <v/>
      </c>
      <c r="N463" s="12">
        <f>LN(G463)</f>
        <v/>
      </c>
      <c r="O463" s="12">
        <f>H463*Beta_0+I463*Beta_1+J463*Beta_2+K463*Beta_3+L463*Beta_4+M463*Beta_5</f>
        <v/>
      </c>
      <c r="P463" s="12">
        <f>N463-O463</f>
        <v/>
      </c>
      <c r="Q463" s="13">
        <f>EXP(O463)*Smearing_Factor</f>
        <v/>
      </c>
    </row>
    <row r="464">
      <c r="A464" t="n">
        <v>463</v>
      </c>
      <c r="B464" t="inlineStr">
        <is>
          <t>Engineering, manufacturing and construction</t>
        </is>
      </c>
      <c r="C464" s="9" t="n">
        <v>3.3</v>
      </c>
      <c r="D464" t="n">
        <v>3</v>
      </c>
      <c r="E464" t="n">
        <v>1</v>
      </c>
      <c r="F464" t="n">
        <v>0</v>
      </c>
      <c r="G464" s="10" t="n">
        <v>1640</v>
      </c>
      <c r="H464" t="n">
        <v>1</v>
      </c>
      <c r="I464" s="11">
        <f>C464-CGPA_Mean</f>
        <v/>
      </c>
      <c r="J464">
        <f>D464</f>
        <v/>
      </c>
      <c r="K464">
        <f>E464</f>
        <v/>
      </c>
      <c r="L464">
        <f>F464</f>
        <v/>
      </c>
      <c r="M464" s="11">
        <f>I464*K464</f>
        <v/>
      </c>
      <c r="N464" s="12">
        <f>LN(G464)</f>
        <v/>
      </c>
      <c r="O464" s="12">
        <f>H464*Beta_0+I464*Beta_1+J464*Beta_2+K464*Beta_3+L464*Beta_4+M464*Beta_5</f>
        <v/>
      </c>
      <c r="P464" s="12">
        <f>N464-O464</f>
        <v/>
      </c>
      <c r="Q464" s="13">
        <f>EXP(O464)*Smearing_Factor</f>
        <v/>
      </c>
    </row>
    <row r="465">
      <c r="A465" t="n">
        <v>464</v>
      </c>
      <c r="B465" t="inlineStr">
        <is>
          <t>Arts and humanities</t>
        </is>
      </c>
      <c r="C465" s="9" t="n">
        <v>2.94</v>
      </c>
      <c r="D465" t="n">
        <v>6</v>
      </c>
      <c r="E465" t="n">
        <v>0</v>
      </c>
      <c r="F465" t="n">
        <v>0</v>
      </c>
      <c r="G465" s="10" t="n">
        <v>1760</v>
      </c>
      <c r="H465" t="n">
        <v>1</v>
      </c>
      <c r="I465" s="11">
        <f>C465-CGPA_Mean</f>
        <v/>
      </c>
      <c r="J465">
        <f>D465</f>
        <v/>
      </c>
      <c r="K465">
        <f>E465</f>
        <v/>
      </c>
      <c r="L465">
        <f>F465</f>
        <v/>
      </c>
      <c r="M465" s="11">
        <f>I465*K465</f>
        <v/>
      </c>
      <c r="N465" s="12">
        <f>LN(G465)</f>
        <v/>
      </c>
      <c r="O465" s="12">
        <f>H465*Beta_0+I465*Beta_1+J465*Beta_2+K465*Beta_3+L465*Beta_4+M465*Beta_5</f>
        <v/>
      </c>
      <c r="P465" s="12">
        <f>N465-O465</f>
        <v/>
      </c>
      <c r="Q465" s="13">
        <f>EXP(O465)*Smearing_Factor</f>
        <v/>
      </c>
    </row>
    <row r="466">
      <c r="A466" t="n">
        <v>465</v>
      </c>
      <c r="B466" t="inlineStr">
        <is>
          <t>Education</t>
        </is>
      </c>
      <c r="C466" s="9" t="n">
        <v>3.71</v>
      </c>
      <c r="D466" t="n">
        <v>9</v>
      </c>
      <c r="E466" t="n">
        <v>0</v>
      </c>
      <c r="F466" t="n">
        <v>1</v>
      </c>
      <c r="G466" s="10" t="n">
        <v>3080</v>
      </c>
      <c r="H466" t="n">
        <v>1</v>
      </c>
      <c r="I466" s="11">
        <f>C466-CGPA_Mean</f>
        <v/>
      </c>
      <c r="J466">
        <f>D466</f>
        <v/>
      </c>
      <c r="K466">
        <f>E466</f>
        <v/>
      </c>
      <c r="L466">
        <f>F466</f>
        <v/>
      </c>
      <c r="M466" s="11">
        <f>I466*K466</f>
        <v/>
      </c>
      <c r="N466" s="12">
        <f>LN(G466)</f>
        <v/>
      </c>
      <c r="O466" s="12">
        <f>H466*Beta_0+I466*Beta_1+J466*Beta_2+K466*Beta_3+L466*Beta_4+M466*Beta_5</f>
        <v/>
      </c>
      <c r="P466" s="12">
        <f>N466-O466</f>
        <v/>
      </c>
      <c r="Q466" s="13">
        <f>EXP(O466)*Smearing_Factor</f>
        <v/>
      </c>
    </row>
    <row r="467">
      <c r="A467" t="n">
        <v>466</v>
      </c>
      <c r="B467" t="inlineStr">
        <is>
          <t>Information and communication technologies</t>
        </is>
      </c>
      <c r="C467" s="9" t="n">
        <v>2.68</v>
      </c>
      <c r="D467" t="n">
        <v>3</v>
      </c>
      <c r="E467" t="n">
        <v>1</v>
      </c>
      <c r="F467" t="n">
        <v>1</v>
      </c>
      <c r="G467" s="10" t="n">
        <v>3170</v>
      </c>
      <c r="H467" t="n">
        <v>1</v>
      </c>
      <c r="I467" s="11">
        <f>C467-CGPA_Mean</f>
        <v/>
      </c>
      <c r="J467">
        <f>D467</f>
        <v/>
      </c>
      <c r="K467">
        <f>E467</f>
        <v/>
      </c>
      <c r="L467">
        <f>F467</f>
        <v/>
      </c>
      <c r="M467" s="11">
        <f>I467*K467</f>
        <v/>
      </c>
      <c r="N467" s="12">
        <f>LN(G467)</f>
        <v/>
      </c>
      <c r="O467" s="12">
        <f>H467*Beta_0+I467*Beta_1+J467*Beta_2+K467*Beta_3+L467*Beta_4+M467*Beta_5</f>
        <v/>
      </c>
      <c r="P467" s="12">
        <f>N467-O467</f>
        <v/>
      </c>
      <c r="Q467" s="13">
        <f>EXP(O467)*Smearing_Factor</f>
        <v/>
      </c>
    </row>
    <row r="468">
      <c r="A468" t="n">
        <v>467</v>
      </c>
      <c r="B468" t="inlineStr">
        <is>
          <t>Business, administration and law</t>
        </is>
      </c>
      <c r="C468" s="9" t="n">
        <v>3.1</v>
      </c>
      <c r="D468" t="n">
        <v>3</v>
      </c>
      <c r="E468" t="n">
        <v>0</v>
      </c>
      <c r="F468" t="n">
        <v>1</v>
      </c>
      <c r="G468" s="10" t="n">
        <v>2470</v>
      </c>
      <c r="H468" t="n">
        <v>1</v>
      </c>
      <c r="I468" s="11">
        <f>C468-CGPA_Mean</f>
        <v/>
      </c>
      <c r="J468">
        <f>D468</f>
        <v/>
      </c>
      <c r="K468">
        <f>E468</f>
        <v/>
      </c>
      <c r="L468">
        <f>F468</f>
        <v/>
      </c>
      <c r="M468" s="11">
        <f>I468*K468</f>
        <v/>
      </c>
      <c r="N468" s="12">
        <f>LN(G468)</f>
        <v/>
      </c>
      <c r="O468" s="12">
        <f>H468*Beta_0+I468*Beta_1+J468*Beta_2+K468*Beta_3+L468*Beta_4+M468*Beta_5</f>
        <v/>
      </c>
      <c r="P468" s="12">
        <f>N468-O468</f>
        <v/>
      </c>
      <c r="Q468" s="13">
        <f>EXP(O468)*Smearing_Factor</f>
        <v/>
      </c>
    </row>
    <row r="469">
      <c r="A469" t="n">
        <v>468</v>
      </c>
      <c r="B469" t="inlineStr">
        <is>
          <t>Business, administration and law</t>
        </is>
      </c>
      <c r="C469" s="9" t="n">
        <v>2.7</v>
      </c>
      <c r="D469" t="n">
        <v>6</v>
      </c>
      <c r="E469" t="n">
        <v>0</v>
      </c>
      <c r="F469" t="n">
        <v>1</v>
      </c>
      <c r="G469" s="10" t="n">
        <v>2640</v>
      </c>
      <c r="H469" t="n">
        <v>1</v>
      </c>
      <c r="I469" s="11">
        <f>C469-CGPA_Mean</f>
        <v/>
      </c>
      <c r="J469">
        <f>D469</f>
        <v/>
      </c>
      <c r="K469">
        <f>E469</f>
        <v/>
      </c>
      <c r="L469">
        <f>F469</f>
        <v/>
      </c>
      <c r="M469" s="11">
        <f>I469*K469</f>
        <v/>
      </c>
      <c r="N469" s="12">
        <f>LN(G469)</f>
        <v/>
      </c>
      <c r="O469" s="12">
        <f>H469*Beta_0+I469*Beta_1+J469*Beta_2+K469*Beta_3+L469*Beta_4+M469*Beta_5</f>
        <v/>
      </c>
      <c r="P469" s="12">
        <f>N469-O469</f>
        <v/>
      </c>
      <c r="Q469" s="13">
        <f>EXP(O469)*Smearing_Factor</f>
        <v/>
      </c>
    </row>
    <row r="470">
      <c r="A470" t="n">
        <v>469</v>
      </c>
      <c r="B470" t="inlineStr">
        <is>
          <t>Information and communication technologies</t>
        </is>
      </c>
      <c r="C470" s="9" t="n">
        <v>2.52</v>
      </c>
      <c r="D470" t="n">
        <v>6</v>
      </c>
      <c r="E470" t="n">
        <v>1</v>
      </c>
      <c r="F470" t="n">
        <v>0</v>
      </c>
      <c r="G470" s="10" t="n">
        <v>2750</v>
      </c>
      <c r="H470" t="n">
        <v>1</v>
      </c>
      <c r="I470" s="11">
        <f>C470-CGPA_Mean</f>
        <v/>
      </c>
      <c r="J470">
        <f>D470</f>
        <v/>
      </c>
      <c r="K470">
        <f>E470</f>
        <v/>
      </c>
      <c r="L470">
        <f>F470</f>
        <v/>
      </c>
      <c r="M470" s="11">
        <f>I470*K470</f>
        <v/>
      </c>
      <c r="N470" s="12">
        <f>LN(G470)</f>
        <v/>
      </c>
      <c r="O470" s="12">
        <f>H470*Beta_0+I470*Beta_1+J470*Beta_2+K470*Beta_3+L470*Beta_4+M470*Beta_5</f>
        <v/>
      </c>
      <c r="P470" s="12">
        <f>N470-O470</f>
        <v/>
      </c>
      <c r="Q470" s="13">
        <f>EXP(O470)*Smearing_Factor</f>
        <v/>
      </c>
    </row>
    <row r="471">
      <c r="A471" t="n">
        <v>470</v>
      </c>
      <c r="B471" t="inlineStr">
        <is>
          <t>Business, administration and law</t>
        </is>
      </c>
      <c r="C471" s="9" t="n">
        <v>3.81</v>
      </c>
      <c r="D471" t="n">
        <v>6</v>
      </c>
      <c r="E471" t="n">
        <v>0</v>
      </c>
      <c r="F471" t="n">
        <v>1</v>
      </c>
      <c r="G471" s="10" t="n">
        <v>8640</v>
      </c>
      <c r="H471" t="n">
        <v>1</v>
      </c>
      <c r="I471" s="11">
        <f>C471-CGPA_Mean</f>
        <v/>
      </c>
      <c r="J471">
        <f>D471</f>
        <v/>
      </c>
      <c r="K471">
        <f>E471</f>
        <v/>
      </c>
      <c r="L471">
        <f>F471</f>
        <v/>
      </c>
      <c r="M471" s="11">
        <f>I471*K471</f>
        <v/>
      </c>
      <c r="N471" s="12">
        <f>LN(G471)</f>
        <v/>
      </c>
      <c r="O471" s="12">
        <f>H471*Beta_0+I471*Beta_1+J471*Beta_2+K471*Beta_3+L471*Beta_4+M471*Beta_5</f>
        <v/>
      </c>
      <c r="P471" s="12">
        <f>N471-O471</f>
        <v/>
      </c>
      <c r="Q471" s="13">
        <f>EXP(O471)*Smearing_Factor</f>
        <v/>
      </c>
    </row>
    <row r="472">
      <c r="A472" t="n">
        <v>471</v>
      </c>
      <c r="B472" t="inlineStr">
        <is>
          <t>Health and welfare</t>
        </is>
      </c>
      <c r="C472" s="9" t="n">
        <v>2.93</v>
      </c>
      <c r="D472" t="n">
        <v>6</v>
      </c>
      <c r="E472" t="n">
        <v>0</v>
      </c>
      <c r="F472" t="n">
        <v>1</v>
      </c>
      <c r="G472" s="10" t="n">
        <v>8880</v>
      </c>
      <c r="H472" t="n">
        <v>1</v>
      </c>
      <c r="I472" s="11">
        <f>C472-CGPA_Mean</f>
        <v/>
      </c>
      <c r="J472">
        <f>D472</f>
        <v/>
      </c>
      <c r="K472">
        <f>E472</f>
        <v/>
      </c>
      <c r="L472">
        <f>F472</f>
        <v/>
      </c>
      <c r="M472" s="11">
        <f>I472*K472</f>
        <v/>
      </c>
      <c r="N472" s="12">
        <f>LN(G472)</f>
        <v/>
      </c>
      <c r="O472" s="12">
        <f>H472*Beta_0+I472*Beta_1+J472*Beta_2+K472*Beta_3+L472*Beta_4+M472*Beta_5</f>
        <v/>
      </c>
      <c r="P472" s="12">
        <f>N472-O472</f>
        <v/>
      </c>
      <c r="Q472" s="13">
        <f>EXP(O472)*Smearing_Factor</f>
        <v/>
      </c>
    </row>
    <row r="473">
      <c r="A473" t="n">
        <v>472</v>
      </c>
      <c r="B473" t="inlineStr">
        <is>
          <t>Health and welfare</t>
        </is>
      </c>
      <c r="C473" s="9" t="n">
        <v>3.33</v>
      </c>
      <c r="D473" t="n">
        <v>3</v>
      </c>
      <c r="E473" t="n">
        <v>0</v>
      </c>
      <c r="F473" t="n">
        <v>0</v>
      </c>
      <c r="G473" s="10" t="n">
        <v>3960</v>
      </c>
      <c r="H473" t="n">
        <v>1</v>
      </c>
      <c r="I473" s="11">
        <f>C473-CGPA_Mean</f>
        <v/>
      </c>
      <c r="J473">
        <f>D473</f>
        <v/>
      </c>
      <c r="K473">
        <f>E473</f>
        <v/>
      </c>
      <c r="L473">
        <f>F473</f>
        <v/>
      </c>
      <c r="M473" s="11">
        <f>I473*K473</f>
        <v/>
      </c>
      <c r="N473" s="12">
        <f>LN(G473)</f>
        <v/>
      </c>
      <c r="O473" s="12">
        <f>H473*Beta_0+I473*Beta_1+J473*Beta_2+K473*Beta_3+L473*Beta_4+M473*Beta_5</f>
        <v/>
      </c>
      <c r="P473" s="12">
        <f>N473-O473</f>
        <v/>
      </c>
      <c r="Q473" s="13">
        <f>EXP(O473)*Smearing_Factor</f>
        <v/>
      </c>
    </row>
    <row r="474">
      <c r="A474" t="n">
        <v>473</v>
      </c>
      <c r="B474" t="inlineStr">
        <is>
          <t>Services</t>
        </is>
      </c>
      <c r="C474" s="9" t="n">
        <v>3.53</v>
      </c>
      <c r="D474" t="n">
        <v>6</v>
      </c>
      <c r="E474" t="n">
        <v>0</v>
      </c>
      <c r="F474" t="n">
        <v>0</v>
      </c>
      <c r="G474" s="10" t="n">
        <v>2390</v>
      </c>
      <c r="H474" t="n">
        <v>1</v>
      </c>
      <c r="I474" s="11">
        <f>C474-CGPA_Mean</f>
        <v/>
      </c>
      <c r="J474">
        <f>D474</f>
        <v/>
      </c>
      <c r="K474">
        <f>E474</f>
        <v/>
      </c>
      <c r="L474">
        <f>F474</f>
        <v/>
      </c>
      <c r="M474" s="11">
        <f>I474*K474</f>
        <v/>
      </c>
      <c r="N474" s="12">
        <f>LN(G474)</f>
        <v/>
      </c>
      <c r="O474" s="12">
        <f>H474*Beta_0+I474*Beta_1+J474*Beta_2+K474*Beta_3+L474*Beta_4+M474*Beta_5</f>
        <v/>
      </c>
      <c r="P474" s="12">
        <f>N474-O474</f>
        <v/>
      </c>
      <c r="Q474" s="13">
        <f>EXP(O474)*Smearing_Factor</f>
        <v/>
      </c>
    </row>
    <row r="475">
      <c r="A475" t="n">
        <v>474</v>
      </c>
      <c r="B475" t="inlineStr">
        <is>
          <t>Health and welfare</t>
        </is>
      </c>
      <c r="C475" s="9" t="n">
        <v>3.23</v>
      </c>
      <c r="D475" t="n">
        <v>6</v>
      </c>
      <c r="E475" t="n">
        <v>0</v>
      </c>
      <c r="F475" t="n">
        <v>1</v>
      </c>
      <c r="G475" s="10" t="n">
        <v>4160</v>
      </c>
      <c r="H475" t="n">
        <v>1</v>
      </c>
      <c r="I475" s="11">
        <f>C475-CGPA_Mean</f>
        <v/>
      </c>
      <c r="J475">
        <f>D475</f>
        <v/>
      </c>
      <c r="K475">
        <f>E475</f>
        <v/>
      </c>
      <c r="L475">
        <f>F475</f>
        <v/>
      </c>
      <c r="M475" s="11">
        <f>I475*K475</f>
        <v/>
      </c>
      <c r="N475" s="12">
        <f>LN(G475)</f>
        <v/>
      </c>
      <c r="O475" s="12">
        <f>H475*Beta_0+I475*Beta_1+J475*Beta_2+K475*Beta_3+L475*Beta_4+M475*Beta_5</f>
        <v/>
      </c>
      <c r="P475" s="12">
        <f>N475-O475</f>
        <v/>
      </c>
      <c r="Q475" s="13">
        <f>EXP(O475)*Smearing_Factor</f>
        <v/>
      </c>
    </row>
    <row r="476">
      <c r="A476" t="n">
        <v>475</v>
      </c>
      <c r="B476" t="inlineStr">
        <is>
          <t>Business, administration and law</t>
        </is>
      </c>
      <c r="C476" s="9" t="n">
        <v>2.8</v>
      </c>
      <c r="D476" t="n">
        <v>6</v>
      </c>
      <c r="E476" t="n">
        <v>0</v>
      </c>
      <c r="F476" t="n">
        <v>0</v>
      </c>
      <c r="G476" s="10" t="n">
        <v>2050</v>
      </c>
      <c r="H476" t="n">
        <v>1</v>
      </c>
      <c r="I476" s="11">
        <f>C476-CGPA_Mean</f>
        <v/>
      </c>
      <c r="J476">
        <f>D476</f>
        <v/>
      </c>
      <c r="K476">
        <f>E476</f>
        <v/>
      </c>
      <c r="L476">
        <f>F476</f>
        <v/>
      </c>
      <c r="M476" s="11">
        <f>I476*K476</f>
        <v/>
      </c>
      <c r="N476" s="12">
        <f>LN(G476)</f>
        <v/>
      </c>
      <c r="O476" s="12">
        <f>H476*Beta_0+I476*Beta_1+J476*Beta_2+K476*Beta_3+L476*Beta_4+M476*Beta_5</f>
        <v/>
      </c>
      <c r="P476" s="12">
        <f>N476-O476</f>
        <v/>
      </c>
      <c r="Q476" s="13">
        <f>EXP(O476)*Smearing_Factor</f>
        <v/>
      </c>
    </row>
    <row r="477">
      <c r="A477" t="n">
        <v>476</v>
      </c>
      <c r="B477" t="inlineStr">
        <is>
          <t>Business, administration and law</t>
        </is>
      </c>
      <c r="C477" s="9" t="n">
        <v>3.28</v>
      </c>
      <c r="D477" t="n">
        <v>3</v>
      </c>
      <c r="E477" t="n">
        <v>0</v>
      </c>
      <c r="F477" t="n">
        <v>1</v>
      </c>
      <c r="G477" s="10" t="n">
        <v>2060</v>
      </c>
      <c r="H477" t="n">
        <v>1</v>
      </c>
      <c r="I477" s="11">
        <f>C477-CGPA_Mean</f>
        <v/>
      </c>
      <c r="J477">
        <f>D477</f>
        <v/>
      </c>
      <c r="K477">
        <f>E477</f>
        <v/>
      </c>
      <c r="L477">
        <f>F477</f>
        <v/>
      </c>
      <c r="M477" s="11">
        <f>I477*K477</f>
        <v/>
      </c>
      <c r="N477" s="12">
        <f>LN(G477)</f>
        <v/>
      </c>
      <c r="O477" s="12">
        <f>H477*Beta_0+I477*Beta_1+J477*Beta_2+K477*Beta_3+L477*Beta_4+M477*Beta_5</f>
        <v/>
      </c>
      <c r="P477" s="12">
        <f>N477-O477</f>
        <v/>
      </c>
      <c r="Q477" s="13">
        <f>EXP(O477)*Smearing_Factor</f>
        <v/>
      </c>
    </row>
    <row r="478">
      <c r="A478" t="n">
        <v>477</v>
      </c>
      <c r="B478" t="inlineStr">
        <is>
          <t>Information and communication technologies</t>
        </is>
      </c>
      <c r="C478" s="9" t="n">
        <v>3.44</v>
      </c>
      <c r="D478" t="n">
        <v>3</v>
      </c>
      <c r="E478" t="n">
        <v>1</v>
      </c>
      <c r="F478" t="n">
        <v>0</v>
      </c>
      <c r="G478" s="10" t="n">
        <v>2920</v>
      </c>
      <c r="H478" t="n">
        <v>1</v>
      </c>
      <c r="I478" s="11">
        <f>C478-CGPA_Mean</f>
        <v/>
      </c>
      <c r="J478">
        <f>D478</f>
        <v/>
      </c>
      <c r="K478">
        <f>E478</f>
        <v/>
      </c>
      <c r="L478">
        <f>F478</f>
        <v/>
      </c>
      <c r="M478" s="11">
        <f>I478*K478</f>
        <v/>
      </c>
      <c r="N478" s="12">
        <f>LN(G478)</f>
        <v/>
      </c>
      <c r="O478" s="12">
        <f>H478*Beta_0+I478*Beta_1+J478*Beta_2+K478*Beta_3+L478*Beta_4+M478*Beta_5</f>
        <v/>
      </c>
      <c r="P478" s="12">
        <f>N478-O478</f>
        <v/>
      </c>
      <c r="Q478" s="13">
        <f>EXP(O478)*Smearing_Factor</f>
        <v/>
      </c>
    </row>
    <row r="479">
      <c r="A479" t="n">
        <v>478</v>
      </c>
      <c r="B479" t="inlineStr">
        <is>
          <t>Business, administration and law</t>
        </is>
      </c>
      <c r="C479" s="9" t="n">
        <v>3.04</v>
      </c>
      <c r="D479" t="n">
        <v>3</v>
      </c>
      <c r="E479" t="n">
        <v>0</v>
      </c>
      <c r="F479" t="n">
        <v>0</v>
      </c>
      <c r="G479" s="10" t="n">
        <v>680</v>
      </c>
      <c r="H479" t="n">
        <v>1</v>
      </c>
      <c r="I479" s="11">
        <f>C479-CGPA_Mean</f>
        <v/>
      </c>
      <c r="J479">
        <f>D479</f>
        <v/>
      </c>
      <c r="K479">
        <f>E479</f>
        <v/>
      </c>
      <c r="L479">
        <f>F479</f>
        <v/>
      </c>
      <c r="M479" s="11">
        <f>I479*K479</f>
        <v/>
      </c>
      <c r="N479" s="12">
        <f>LN(G479)</f>
        <v/>
      </c>
      <c r="O479" s="12">
        <f>H479*Beta_0+I479*Beta_1+J479*Beta_2+K479*Beta_3+L479*Beta_4+M479*Beta_5</f>
        <v/>
      </c>
      <c r="P479" s="12">
        <f>N479-O479</f>
        <v/>
      </c>
      <c r="Q479" s="13">
        <f>EXP(O479)*Smearing_Factor</f>
        <v/>
      </c>
    </row>
    <row r="480">
      <c r="A480" t="n">
        <v>479</v>
      </c>
      <c r="B480" t="inlineStr">
        <is>
          <t>Information and communication technologies</t>
        </is>
      </c>
      <c r="C480" s="9" t="n">
        <v>2.77</v>
      </c>
      <c r="D480" t="n">
        <v>6</v>
      </c>
      <c r="E480" t="n">
        <v>1</v>
      </c>
      <c r="F480" t="n">
        <v>0</v>
      </c>
      <c r="G480" s="10" t="n">
        <v>2500</v>
      </c>
      <c r="H480" t="n">
        <v>1</v>
      </c>
      <c r="I480" s="11">
        <f>C480-CGPA_Mean</f>
        <v/>
      </c>
      <c r="J480">
        <f>D480</f>
        <v/>
      </c>
      <c r="K480">
        <f>E480</f>
        <v/>
      </c>
      <c r="L480">
        <f>F480</f>
        <v/>
      </c>
      <c r="M480" s="11">
        <f>I480*K480</f>
        <v/>
      </c>
      <c r="N480" s="12">
        <f>LN(G480)</f>
        <v/>
      </c>
      <c r="O480" s="12">
        <f>H480*Beta_0+I480*Beta_1+J480*Beta_2+K480*Beta_3+L480*Beta_4+M480*Beta_5</f>
        <v/>
      </c>
      <c r="P480" s="12">
        <f>N480-O480</f>
        <v/>
      </c>
      <c r="Q480" s="13">
        <f>EXP(O480)*Smearing_Factor</f>
        <v/>
      </c>
    </row>
    <row r="481">
      <c r="A481" t="n">
        <v>480</v>
      </c>
      <c r="B481" t="inlineStr">
        <is>
          <t>Engineering, manufacturing and construction</t>
        </is>
      </c>
      <c r="C481" s="9" t="n">
        <v>3.25</v>
      </c>
      <c r="D481" t="n">
        <v>6</v>
      </c>
      <c r="E481" t="n">
        <v>1</v>
      </c>
      <c r="F481" t="n">
        <v>0</v>
      </c>
      <c r="G481" s="10" t="n">
        <v>3830</v>
      </c>
      <c r="H481" t="n">
        <v>1</v>
      </c>
      <c r="I481" s="11">
        <f>C481-CGPA_Mean</f>
        <v/>
      </c>
      <c r="J481">
        <f>D481</f>
        <v/>
      </c>
      <c r="K481">
        <f>E481</f>
        <v/>
      </c>
      <c r="L481">
        <f>F481</f>
        <v/>
      </c>
      <c r="M481" s="11">
        <f>I481*K481</f>
        <v/>
      </c>
      <c r="N481" s="12">
        <f>LN(G481)</f>
        <v/>
      </c>
      <c r="O481" s="12">
        <f>H481*Beta_0+I481*Beta_1+J481*Beta_2+K481*Beta_3+L481*Beta_4+M481*Beta_5</f>
        <v/>
      </c>
      <c r="P481" s="12">
        <f>N481-O481</f>
        <v/>
      </c>
      <c r="Q481" s="13">
        <f>EXP(O481)*Smearing_Factor</f>
        <v/>
      </c>
    </row>
    <row r="482">
      <c r="A482" t="n">
        <v>481</v>
      </c>
      <c r="B482" t="inlineStr">
        <is>
          <t>Business, administration and law</t>
        </is>
      </c>
      <c r="C482" s="9" t="n">
        <v>3.62</v>
      </c>
      <c r="D482" t="n">
        <v>6</v>
      </c>
      <c r="E482" t="n">
        <v>0</v>
      </c>
      <c r="F482" t="n">
        <v>0</v>
      </c>
      <c r="G482" s="10" t="n">
        <v>4690</v>
      </c>
      <c r="H482" t="n">
        <v>1</v>
      </c>
      <c r="I482" s="11">
        <f>C482-CGPA_Mean</f>
        <v/>
      </c>
      <c r="J482">
        <f>D482</f>
        <v/>
      </c>
      <c r="K482">
        <f>E482</f>
        <v/>
      </c>
      <c r="L482">
        <f>F482</f>
        <v/>
      </c>
      <c r="M482" s="11">
        <f>I482*K482</f>
        <v/>
      </c>
      <c r="N482" s="12">
        <f>LN(G482)</f>
        <v/>
      </c>
      <c r="O482" s="12">
        <f>H482*Beta_0+I482*Beta_1+J482*Beta_2+K482*Beta_3+L482*Beta_4+M482*Beta_5</f>
        <v/>
      </c>
      <c r="P482" s="12">
        <f>N482-O482</f>
        <v/>
      </c>
      <c r="Q482" s="13">
        <f>EXP(O482)*Smearing_Factor</f>
        <v/>
      </c>
    </row>
    <row r="483">
      <c r="A483" t="n">
        <v>482</v>
      </c>
      <c r="B483" t="inlineStr">
        <is>
          <t>Engineering, manufacturing and construction</t>
        </is>
      </c>
      <c r="C483" s="9" t="n">
        <v>3.3</v>
      </c>
      <c r="D483" t="n">
        <v>6</v>
      </c>
      <c r="E483" t="n">
        <v>1</v>
      </c>
      <c r="F483" t="n">
        <v>1</v>
      </c>
      <c r="G483" s="10" t="n">
        <v>2760</v>
      </c>
      <c r="H483" t="n">
        <v>1</v>
      </c>
      <c r="I483" s="11">
        <f>C483-CGPA_Mean</f>
        <v/>
      </c>
      <c r="J483">
        <f>D483</f>
        <v/>
      </c>
      <c r="K483">
        <f>E483</f>
        <v/>
      </c>
      <c r="L483">
        <f>F483</f>
        <v/>
      </c>
      <c r="M483" s="11">
        <f>I483*K483</f>
        <v/>
      </c>
      <c r="N483" s="12">
        <f>LN(G483)</f>
        <v/>
      </c>
      <c r="O483" s="12">
        <f>H483*Beta_0+I483*Beta_1+J483*Beta_2+K483*Beta_3+L483*Beta_4+M483*Beta_5</f>
        <v/>
      </c>
      <c r="P483" s="12">
        <f>N483-O483</f>
        <v/>
      </c>
      <c r="Q483" s="13">
        <f>EXP(O483)*Smearing_Factor</f>
        <v/>
      </c>
    </row>
    <row r="484">
      <c r="A484" t="n">
        <v>483</v>
      </c>
      <c r="B484" t="inlineStr">
        <is>
          <t>Social sciences, journalism and information</t>
        </is>
      </c>
      <c r="C484" s="9" t="n">
        <v>2.51</v>
      </c>
      <c r="D484" t="n">
        <v>3</v>
      </c>
      <c r="E484" t="n">
        <v>0</v>
      </c>
      <c r="F484" t="n">
        <v>1</v>
      </c>
      <c r="G484" s="10" t="n">
        <v>3660</v>
      </c>
      <c r="H484" t="n">
        <v>1</v>
      </c>
      <c r="I484" s="11">
        <f>C484-CGPA_Mean</f>
        <v/>
      </c>
      <c r="J484">
        <f>D484</f>
        <v/>
      </c>
      <c r="K484">
        <f>E484</f>
        <v/>
      </c>
      <c r="L484">
        <f>F484</f>
        <v/>
      </c>
      <c r="M484" s="11">
        <f>I484*K484</f>
        <v/>
      </c>
      <c r="N484" s="12">
        <f>LN(G484)</f>
        <v/>
      </c>
      <c r="O484" s="12">
        <f>H484*Beta_0+I484*Beta_1+J484*Beta_2+K484*Beta_3+L484*Beta_4+M484*Beta_5</f>
        <v/>
      </c>
      <c r="P484" s="12">
        <f>N484-O484</f>
        <v/>
      </c>
      <c r="Q484" s="13">
        <f>EXP(O484)*Smearing_Factor</f>
        <v/>
      </c>
    </row>
    <row r="485">
      <c r="A485" t="n">
        <v>484</v>
      </c>
      <c r="B485" t="inlineStr">
        <is>
          <t>Information and communication technologies</t>
        </is>
      </c>
      <c r="C485" s="9" t="n">
        <v>3.39</v>
      </c>
      <c r="D485" t="n">
        <v>6</v>
      </c>
      <c r="E485" t="n">
        <v>1</v>
      </c>
      <c r="F485" t="n">
        <v>0</v>
      </c>
      <c r="G485" s="10" t="n">
        <v>2070</v>
      </c>
      <c r="H485" t="n">
        <v>1</v>
      </c>
      <c r="I485" s="11">
        <f>C485-CGPA_Mean</f>
        <v/>
      </c>
      <c r="J485">
        <f>D485</f>
        <v/>
      </c>
      <c r="K485">
        <f>E485</f>
        <v/>
      </c>
      <c r="L485">
        <f>F485</f>
        <v/>
      </c>
      <c r="M485" s="11">
        <f>I485*K485</f>
        <v/>
      </c>
      <c r="N485" s="12">
        <f>LN(G485)</f>
        <v/>
      </c>
      <c r="O485" s="12">
        <f>H485*Beta_0+I485*Beta_1+J485*Beta_2+K485*Beta_3+L485*Beta_4+M485*Beta_5</f>
        <v/>
      </c>
      <c r="P485" s="12">
        <f>N485-O485</f>
        <v/>
      </c>
      <c r="Q485" s="13">
        <f>EXP(O485)*Smearing_Factor</f>
        <v/>
      </c>
    </row>
    <row r="486">
      <c r="A486" t="n">
        <v>485</v>
      </c>
      <c r="B486" t="inlineStr">
        <is>
          <t>Arts and humanities</t>
        </is>
      </c>
      <c r="C486" s="9" t="n">
        <v>2.69</v>
      </c>
      <c r="D486" t="n">
        <v>6</v>
      </c>
      <c r="E486" t="n">
        <v>0</v>
      </c>
      <c r="F486" t="n">
        <v>0</v>
      </c>
      <c r="G486" s="10" t="n">
        <v>3920</v>
      </c>
      <c r="H486" t="n">
        <v>1</v>
      </c>
      <c r="I486" s="11">
        <f>C486-CGPA_Mean</f>
        <v/>
      </c>
      <c r="J486">
        <f>D486</f>
        <v/>
      </c>
      <c r="K486">
        <f>E486</f>
        <v/>
      </c>
      <c r="L486">
        <f>F486</f>
        <v/>
      </c>
      <c r="M486" s="11">
        <f>I486*K486</f>
        <v/>
      </c>
      <c r="N486" s="12">
        <f>LN(G486)</f>
        <v/>
      </c>
      <c r="O486" s="12">
        <f>H486*Beta_0+I486*Beta_1+J486*Beta_2+K486*Beta_3+L486*Beta_4+M486*Beta_5</f>
        <v/>
      </c>
      <c r="P486" s="12">
        <f>N486-O486</f>
        <v/>
      </c>
      <c r="Q486" s="13">
        <f>EXP(O486)*Smearing_Factor</f>
        <v/>
      </c>
    </row>
    <row r="487">
      <c r="A487" t="n">
        <v>486</v>
      </c>
      <c r="B487" t="inlineStr">
        <is>
          <t>Natural sciences, mathematics and statistics</t>
        </is>
      </c>
      <c r="C487" s="9" t="n">
        <v>2.94</v>
      </c>
      <c r="D487" t="n">
        <v>3</v>
      </c>
      <c r="E487" t="n">
        <v>1</v>
      </c>
      <c r="F487" t="n">
        <v>0</v>
      </c>
      <c r="G487" s="10" t="n">
        <v>3960</v>
      </c>
      <c r="H487" t="n">
        <v>1</v>
      </c>
      <c r="I487" s="11">
        <f>C487-CGPA_Mean</f>
        <v/>
      </c>
      <c r="J487">
        <f>D487</f>
        <v/>
      </c>
      <c r="K487">
        <f>E487</f>
        <v/>
      </c>
      <c r="L487">
        <f>F487</f>
        <v/>
      </c>
      <c r="M487" s="11">
        <f>I487*K487</f>
        <v/>
      </c>
      <c r="N487" s="12">
        <f>LN(G487)</f>
        <v/>
      </c>
      <c r="O487" s="12">
        <f>H487*Beta_0+I487*Beta_1+J487*Beta_2+K487*Beta_3+L487*Beta_4+M487*Beta_5</f>
        <v/>
      </c>
      <c r="P487" s="12">
        <f>N487-O487</f>
        <v/>
      </c>
      <c r="Q487" s="13">
        <f>EXP(O487)*Smearing_Factor</f>
        <v/>
      </c>
    </row>
    <row r="488">
      <c r="A488" t="n">
        <v>487</v>
      </c>
      <c r="B488" t="inlineStr">
        <is>
          <t>Business, administration and law</t>
        </is>
      </c>
      <c r="C488" s="9" t="n">
        <v>3.26</v>
      </c>
      <c r="D488" t="n">
        <v>6</v>
      </c>
      <c r="E488" t="n">
        <v>0</v>
      </c>
      <c r="F488" t="n">
        <v>0</v>
      </c>
      <c r="G488" s="10" t="n">
        <v>1570</v>
      </c>
      <c r="H488" t="n">
        <v>1</v>
      </c>
      <c r="I488" s="11">
        <f>C488-CGPA_Mean</f>
        <v/>
      </c>
      <c r="J488">
        <f>D488</f>
        <v/>
      </c>
      <c r="K488">
        <f>E488</f>
        <v/>
      </c>
      <c r="L488">
        <f>F488</f>
        <v/>
      </c>
      <c r="M488" s="11">
        <f>I488*K488</f>
        <v/>
      </c>
      <c r="N488" s="12">
        <f>LN(G488)</f>
        <v/>
      </c>
      <c r="O488" s="12">
        <f>H488*Beta_0+I488*Beta_1+J488*Beta_2+K488*Beta_3+L488*Beta_4+M488*Beta_5</f>
        <v/>
      </c>
      <c r="P488" s="12">
        <f>N488-O488</f>
        <v/>
      </c>
      <c r="Q488" s="13">
        <f>EXP(O488)*Smearing_Factor</f>
        <v/>
      </c>
    </row>
    <row r="489">
      <c r="A489" t="n">
        <v>488</v>
      </c>
      <c r="B489" t="inlineStr">
        <is>
          <t>Business, administration and law</t>
        </is>
      </c>
      <c r="C489" s="9" t="n">
        <v>3.37</v>
      </c>
      <c r="D489" t="n">
        <v>6</v>
      </c>
      <c r="E489" t="n">
        <v>0</v>
      </c>
      <c r="F489" t="n">
        <v>0</v>
      </c>
      <c r="G489" s="10" t="n">
        <v>1770</v>
      </c>
      <c r="H489" t="n">
        <v>1</v>
      </c>
      <c r="I489" s="11">
        <f>C489-CGPA_Mean</f>
        <v/>
      </c>
      <c r="J489">
        <f>D489</f>
        <v/>
      </c>
      <c r="K489">
        <f>E489</f>
        <v/>
      </c>
      <c r="L489">
        <f>F489</f>
        <v/>
      </c>
      <c r="M489" s="11">
        <f>I489*K489</f>
        <v/>
      </c>
      <c r="N489" s="12">
        <f>LN(G489)</f>
        <v/>
      </c>
      <c r="O489" s="12">
        <f>H489*Beta_0+I489*Beta_1+J489*Beta_2+K489*Beta_3+L489*Beta_4+M489*Beta_5</f>
        <v/>
      </c>
      <c r="P489" s="12">
        <f>N489-O489</f>
        <v/>
      </c>
      <c r="Q489" s="13">
        <f>EXP(O489)*Smearing_Factor</f>
        <v/>
      </c>
    </row>
    <row r="490">
      <c r="A490" t="n">
        <v>489</v>
      </c>
      <c r="B490" t="inlineStr">
        <is>
          <t>Business, administration and law</t>
        </is>
      </c>
      <c r="C490" s="9" t="n">
        <v>3.12</v>
      </c>
      <c r="D490" t="n">
        <v>6</v>
      </c>
      <c r="E490" t="n">
        <v>0</v>
      </c>
      <c r="F490" t="n">
        <v>1</v>
      </c>
      <c r="G490" s="10" t="n">
        <v>1860</v>
      </c>
      <c r="H490" t="n">
        <v>1</v>
      </c>
      <c r="I490" s="11">
        <f>C490-CGPA_Mean</f>
        <v/>
      </c>
      <c r="J490">
        <f>D490</f>
        <v/>
      </c>
      <c r="K490">
        <f>E490</f>
        <v/>
      </c>
      <c r="L490">
        <f>F490</f>
        <v/>
      </c>
      <c r="M490" s="11">
        <f>I490*K490</f>
        <v/>
      </c>
      <c r="N490" s="12">
        <f>LN(G490)</f>
        <v/>
      </c>
      <c r="O490" s="12">
        <f>H490*Beta_0+I490*Beta_1+J490*Beta_2+K490*Beta_3+L490*Beta_4+M490*Beta_5</f>
        <v/>
      </c>
      <c r="P490" s="12">
        <f>N490-O490</f>
        <v/>
      </c>
      <c r="Q490" s="13">
        <f>EXP(O490)*Smearing_Factor</f>
        <v/>
      </c>
    </row>
    <row r="491">
      <c r="A491" t="n">
        <v>490</v>
      </c>
      <c r="B491" t="inlineStr">
        <is>
          <t>Natural sciences, mathematics and statistics</t>
        </is>
      </c>
      <c r="C491" s="9" t="n">
        <v>3.75</v>
      </c>
      <c r="D491" t="n">
        <v>6</v>
      </c>
      <c r="E491" t="n">
        <v>1</v>
      </c>
      <c r="F491" t="n">
        <v>1</v>
      </c>
      <c r="G491" s="10" t="n">
        <v>2390</v>
      </c>
      <c r="H491" t="n">
        <v>1</v>
      </c>
      <c r="I491" s="11">
        <f>C491-CGPA_Mean</f>
        <v/>
      </c>
      <c r="J491">
        <f>D491</f>
        <v/>
      </c>
      <c r="K491">
        <f>E491</f>
        <v/>
      </c>
      <c r="L491">
        <f>F491</f>
        <v/>
      </c>
      <c r="M491" s="11">
        <f>I491*K491</f>
        <v/>
      </c>
      <c r="N491" s="12">
        <f>LN(G491)</f>
        <v/>
      </c>
      <c r="O491" s="12">
        <f>H491*Beta_0+I491*Beta_1+J491*Beta_2+K491*Beta_3+L491*Beta_4+M491*Beta_5</f>
        <v/>
      </c>
      <c r="P491" s="12">
        <f>N491-O491</f>
        <v/>
      </c>
      <c r="Q491" s="13">
        <f>EXP(O491)*Smearing_Factor</f>
        <v/>
      </c>
    </row>
    <row r="492">
      <c r="A492" t="n">
        <v>491</v>
      </c>
      <c r="B492" t="inlineStr">
        <is>
          <t>Information and communication technologies</t>
        </is>
      </c>
      <c r="C492" s="9" t="n">
        <v>3.79</v>
      </c>
      <c r="D492" t="n">
        <v>6</v>
      </c>
      <c r="E492" t="n">
        <v>1</v>
      </c>
      <c r="F492" t="n">
        <v>0</v>
      </c>
      <c r="G492" s="10" t="n">
        <v>710</v>
      </c>
      <c r="H492" t="n">
        <v>1</v>
      </c>
      <c r="I492" s="11">
        <f>C492-CGPA_Mean</f>
        <v/>
      </c>
      <c r="J492">
        <f>D492</f>
        <v/>
      </c>
      <c r="K492">
        <f>E492</f>
        <v/>
      </c>
      <c r="L492">
        <f>F492</f>
        <v/>
      </c>
      <c r="M492" s="11">
        <f>I492*K492</f>
        <v/>
      </c>
      <c r="N492" s="12">
        <f>LN(G492)</f>
        <v/>
      </c>
      <c r="O492" s="12">
        <f>H492*Beta_0+I492*Beta_1+J492*Beta_2+K492*Beta_3+L492*Beta_4+M492*Beta_5</f>
        <v/>
      </c>
      <c r="P492" s="12">
        <f>N492-O492</f>
        <v/>
      </c>
      <c r="Q492" s="13">
        <f>EXP(O492)*Smearing_Factor</f>
        <v/>
      </c>
    </row>
    <row r="493">
      <c r="A493" t="n">
        <v>492</v>
      </c>
      <c r="B493" t="inlineStr">
        <is>
          <t>Natural sciences, mathematics and statistics</t>
        </is>
      </c>
      <c r="C493" s="9" t="n">
        <v>3.24</v>
      </c>
      <c r="D493" t="n">
        <v>6</v>
      </c>
      <c r="E493" t="n">
        <v>1</v>
      </c>
      <c r="F493" t="n">
        <v>0</v>
      </c>
      <c r="G493" s="10" t="n">
        <v>2940</v>
      </c>
      <c r="H493" t="n">
        <v>1</v>
      </c>
      <c r="I493" s="11">
        <f>C493-CGPA_Mean</f>
        <v/>
      </c>
      <c r="J493">
        <f>D493</f>
        <v/>
      </c>
      <c r="K493">
        <f>E493</f>
        <v/>
      </c>
      <c r="L493">
        <f>F493</f>
        <v/>
      </c>
      <c r="M493" s="11">
        <f>I493*K493</f>
        <v/>
      </c>
      <c r="N493" s="12">
        <f>LN(G493)</f>
        <v/>
      </c>
      <c r="O493" s="12">
        <f>H493*Beta_0+I493*Beta_1+J493*Beta_2+K493*Beta_3+L493*Beta_4+M493*Beta_5</f>
        <v/>
      </c>
      <c r="P493" s="12">
        <f>N493-O493</f>
        <v/>
      </c>
      <c r="Q493" s="13">
        <f>EXP(O493)*Smearing_Factor</f>
        <v/>
      </c>
    </row>
    <row r="494">
      <c r="A494" t="n">
        <v>493</v>
      </c>
      <c r="B494" t="inlineStr">
        <is>
          <t>Business, administration and law</t>
        </is>
      </c>
      <c r="C494" s="9" t="n">
        <v>3.81</v>
      </c>
      <c r="D494" t="n">
        <v>6</v>
      </c>
      <c r="E494" t="n">
        <v>0</v>
      </c>
      <c r="F494" t="n">
        <v>1</v>
      </c>
      <c r="G494" s="10" t="n">
        <v>2470</v>
      </c>
      <c r="H494" t="n">
        <v>1</v>
      </c>
      <c r="I494" s="11">
        <f>C494-CGPA_Mean</f>
        <v/>
      </c>
      <c r="J494">
        <f>D494</f>
        <v/>
      </c>
      <c r="K494">
        <f>E494</f>
        <v/>
      </c>
      <c r="L494">
        <f>F494</f>
        <v/>
      </c>
      <c r="M494" s="11">
        <f>I494*K494</f>
        <v/>
      </c>
      <c r="N494" s="12">
        <f>LN(G494)</f>
        <v/>
      </c>
      <c r="O494" s="12">
        <f>H494*Beta_0+I494*Beta_1+J494*Beta_2+K494*Beta_3+L494*Beta_4+M494*Beta_5</f>
        <v/>
      </c>
      <c r="P494" s="12">
        <f>N494-O494</f>
        <v/>
      </c>
      <c r="Q494" s="13">
        <f>EXP(O494)*Smearing_Factor</f>
        <v/>
      </c>
    </row>
    <row r="495">
      <c r="A495" t="n">
        <v>494</v>
      </c>
      <c r="B495" t="inlineStr">
        <is>
          <t>Information and communication technologies</t>
        </is>
      </c>
      <c r="C495" s="9" t="n">
        <v>3.07</v>
      </c>
      <c r="D495" t="n">
        <v>9</v>
      </c>
      <c r="E495" t="n">
        <v>1</v>
      </c>
      <c r="F495" t="n">
        <v>0</v>
      </c>
      <c r="G495" s="10" t="n">
        <v>2930</v>
      </c>
      <c r="H495" t="n">
        <v>1</v>
      </c>
      <c r="I495" s="11">
        <f>C495-CGPA_Mean</f>
        <v/>
      </c>
      <c r="J495">
        <f>D495</f>
        <v/>
      </c>
      <c r="K495">
        <f>E495</f>
        <v/>
      </c>
      <c r="L495">
        <f>F495</f>
        <v/>
      </c>
      <c r="M495" s="11">
        <f>I495*K495</f>
        <v/>
      </c>
      <c r="N495" s="12">
        <f>LN(G495)</f>
        <v/>
      </c>
      <c r="O495" s="12">
        <f>H495*Beta_0+I495*Beta_1+J495*Beta_2+K495*Beta_3+L495*Beta_4+M495*Beta_5</f>
        <v/>
      </c>
      <c r="P495" s="12">
        <f>N495-O495</f>
        <v/>
      </c>
      <c r="Q495" s="13">
        <f>EXP(O495)*Smearing_Factor</f>
        <v/>
      </c>
    </row>
    <row r="496">
      <c r="A496" t="n">
        <v>495</v>
      </c>
      <c r="B496" t="inlineStr">
        <is>
          <t>Business, administration and law</t>
        </is>
      </c>
      <c r="C496" s="9" t="n">
        <v>3.06</v>
      </c>
      <c r="D496" t="n">
        <v>9</v>
      </c>
      <c r="E496" t="n">
        <v>0</v>
      </c>
      <c r="F496" t="n">
        <v>0</v>
      </c>
      <c r="G496" s="10" t="n">
        <v>3820</v>
      </c>
      <c r="H496" t="n">
        <v>1</v>
      </c>
      <c r="I496" s="11">
        <f>C496-CGPA_Mean</f>
        <v/>
      </c>
      <c r="J496">
        <f>D496</f>
        <v/>
      </c>
      <c r="K496">
        <f>E496</f>
        <v/>
      </c>
      <c r="L496">
        <f>F496</f>
        <v/>
      </c>
      <c r="M496" s="11">
        <f>I496*K496</f>
        <v/>
      </c>
      <c r="N496" s="12">
        <f>LN(G496)</f>
        <v/>
      </c>
      <c r="O496" s="12">
        <f>H496*Beta_0+I496*Beta_1+J496*Beta_2+K496*Beta_3+L496*Beta_4+M496*Beta_5</f>
        <v/>
      </c>
      <c r="P496" s="12">
        <f>N496-O496</f>
        <v/>
      </c>
      <c r="Q496" s="13">
        <f>EXP(O496)*Smearing_Factor</f>
        <v/>
      </c>
    </row>
    <row r="497">
      <c r="A497" t="n">
        <v>496</v>
      </c>
      <c r="B497" t="inlineStr">
        <is>
          <t>Business, administration and law</t>
        </is>
      </c>
      <c r="C497" s="9" t="n">
        <v>3.26</v>
      </c>
      <c r="D497" t="n">
        <v>3</v>
      </c>
      <c r="E497" t="n">
        <v>0</v>
      </c>
      <c r="F497" t="n">
        <v>0</v>
      </c>
      <c r="G497" s="10" t="n">
        <v>2130</v>
      </c>
      <c r="H497" t="n">
        <v>1</v>
      </c>
      <c r="I497" s="11">
        <f>C497-CGPA_Mean</f>
        <v/>
      </c>
      <c r="J497">
        <f>D497</f>
        <v/>
      </c>
      <c r="K497">
        <f>E497</f>
        <v/>
      </c>
      <c r="L497">
        <f>F497</f>
        <v/>
      </c>
      <c r="M497" s="11">
        <f>I497*K497</f>
        <v/>
      </c>
      <c r="N497" s="12">
        <f>LN(G497)</f>
        <v/>
      </c>
      <c r="O497" s="12">
        <f>H497*Beta_0+I497*Beta_1+J497*Beta_2+K497*Beta_3+L497*Beta_4+M497*Beta_5</f>
        <v/>
      </c>
      <c r="P497" s="12">
        <f>N497-O497</f>
        <v/>
      </c>
      <c r="Q497" s="13">
        <f>EXP(O497)*Smearing_Factor</f>
        <v/>
      </c>
    </row>
    <row r="498">
      <c r="A498" t="n">
        <v>497</v>
      </c>
      <c r="B498" t="inlineStr">
        <is>
          <t>Engineering, manufacturing and construction</t>
        </is>
      </c>
      <c r="C498" s="9" t="n">
        <v>2.9</v>
      </c>
      <c r="D498" t="n">
        <v>6</v>
      </c>
      <c r="E498" t="n">
        <v>1</v>
      </c>
      <c r="F498" t="n">
        <v>1</v>
      </c>
      <c r="G498" s="10" t="n">
        <v>3480</v>
      </c>
      <c r="H498" t="n">
        <v>1</v>
      </c>
      <c r="I498" s="11">
        <f>C498-CGPA_Mean</f>
        <v/>
      </c>
      <c r="J498">
        <f>D498</f>
        <v/>
      </c>
      <c r="K498">
        <f>E498</f>
        <v/>
      </c>
      <c r="L498">
        <f>F498</f>
        <v/>
      </c>
      <c r="M498" s="11">
        <f>I498*K498</f>
        <v/>
      </c>
      <c r="N498" s="12">
        <f>LN(G498)</f>
        <v/>
      </c>
      <c r="O498" s="12">
        <f>H498*Beta_0+I498*Beta_1+J498*Beta_2+K498*Beta_3+L498*Beta_4+M498*Beta_5</f>
        <v/>
      </c>
      <c r="P498" s="12">
        <f>N498-O498</f>
        <v/>
      </c>
      <c r="Q498" s="13">
        <f>EXP(O498)*Smearing_Factor</f>
        <v/>
      </c>
    </row>
    <row r="499">
      <c r="A499" t="n">
        <v>498</v>
      </c>
      <c r="B499" t="inlineStr">
        <is>
          <t>Business, administration and law</t>
        </is>
      </c>
      <c r="C499" s="9" t="n">
        <v>3.76</v>
      </c>
      <c r="D499" t="n">
        <v>6</v>
      </c>
      <c r="E499" t="n">
        <v>0</v>
      </c>
      <c r="F499" t="n">
        <v>1</v>
      </c>
      <c r="G499" s="10" t="n">
        <v>1960</v>
      </c>
      <c r="H499" t="n">
        <v>1</v>
      </c>
      <c r="I499" s="11">
        <f>C499-CGPA_Mean</f>
        <v/>
      </c>
      <c r="J499">
        <f>D499</f>
        <v/>
      </c>
      <c r="K499">
        <f>E499</f>
        <v/>
      </c>
      <c r="L499">
        <f>F499</f>
        <v/>
      </c>
      <c r="M499" s="11">
        <f>I499*K499</f>
        <v/>
      </c>
      <c r="N499" s="12">
        <f>LN(G499)</f>
        <v/>
      </c>
      <c r="O499" s="12">
        <f>H499*Beta_0+I499*Beta_1+J499*Beta_2+K499*Beta_3+L499*Beta_4+M499*Beta_5</f>
        <v/>
      </c>
      <c r="P499" s="12">
        <f>N499-O499</f>
        <v/>
      </c>
      <c r="Q499" s="13">
        <f>EXP(O499)*Smearing_Factor</f>
        <v/>
      </c>
    </row>
    <row r="500">
      <c r="A500" t="n">
        <v>499</v>
      </c>
      <c r="B500" t="inlineStr">
        <is>
          <t>Business, administration and law</t>
        </is>
      </c>
      <c r="C500" s="9" t="n">
        <v>3.2</v>
      </c>
      <c r="D500" t="n">
        <v>3</v>
      </c>
      <c r="E500" t="n">
        <v>0</v>
      </c>
      <c r="F500" t="n">
        <v>0</v>
      </c>
      <c r="G500" s="10" t="n">
        <v>2230</v>
      </c>
      <c r="H500" t="n">
        <v>1</v>
      </c>
      <c r="I500" s="11">
        <f>C500-CGPA_Mean</f>
        <v/>
      </c>
      <c r="J500">
        <f>D500</f>
        <v/>
      </c>
      <c r="K500">
        <f>E500</f>
        <v/>
      </c>
      <c r="L500">
        <f>F500</f>
        <v/>
      </c>
      <c r="M500" s="11">
        <f>I500*K500</f>
        <v/>
      </c>
      <c r="N500" s="12">
        <f>LN(G500)</f>
        <v/>
      </c>
      <c r="O500" s="12">
        <f>H500*Beta_0+I500*Beta_1+J500*Beta_2+K500*Beta_3+L500*Beta_4+M500*Beta_5</f>
        <v/>
      </c>
      <c r="P500" s="12">
        <f>N500-O500</f>
        <v/>
      </c>
      <c r="Q500" s="13">
        <f>EXP(O500)*Smearing_Factor</f>
        <v/>
      </c>
    </row>
    <row r="501">
      <c r="A501" t="n">
        <v>500</v>
      </c>
      <c r="B501" t="inlineStr">
        <is>
          <t>Engineering, manufacturing and construction</t>
        </is>
      </c>
      <c r="C501" s="9" t="n">
        <v>2.52</v>
      </c>
      <c r="D501" t="n">
        <v>9</v>
      </c>
      <c r="E501" t="n">
        <v>1</v>
      </c>
      <c r="F501" t="n">
        <v>0</v>
      </c>
      <c r="G501" s="10" t="n">
        <v>1360</v>
      </c>
      <c r="H501" t="n">
        <v>1</v>
      </c>
      <c r="I501" s="11">
        <f>C501-CGPA_Mean</f>
        <v/>
      </c>
      <c r="J501">
        <f>D501</f>
        <v/>
      </c>
      <c r="K501">
        <f>E501</f>
        <v/>
      </c>
      <c r="L501">
        <f>F501</f>
        <v/>
      </c>
      <c r="M501" s="11">
        <f>I501*K501</f>
        <v/>
      </c>
      <c r="N501" s="12">
        <f>LN(G501)</f>
        <v/>
      </c>
      <c r="O501" s="12">
        <f>H501*Beta_0+I501*Beta_1+J501*Beta_2+K501*Beta_3+L501*Beta_4+M501*Beta_5</f>
        <v/>
      </c>
      <c r="P501" s="12">
        <f>N501-O501</f>
        <v/>
      </c>
      <c r="Q501" s="13">
        <f>EXP(O501)*Smearing_Factor</f>
        <v/>
      </c>
    </row>
    <row r="502">
      <c r="A502" t="n">
        <v>501</v>
      </c>
      <c r="B502" t="inlineStr">
        <is>
          <t>Arts and humanities</t>
        </is>
      </c>
      <c r="C502" s="9" t="n">
        <v>2.74</v>
      </c>
      <c r="D502" t="n">
        <v>6</v>
      </c>
      <c r="E502" t="n">
        <v>0</v>
      </c>
      <c r="F502" t="n">
        <v>0</v>
      </c>
      <c r="G502" s="10" t="n">
        <v>1900</v>
      </c>
      <c r="H502" t="n">
        <v>1</v>
      </c>
      <c r="I502" s="11">
        <f>C502-CGPA_Mean</f>
        <v/>
      </c>
      <c r="J502">
        <f>D502</f>
        <v/>
      </c>
      <c r="K502">
        <f>E502</f>
        <v/>
      </c>
      <c r="L502">
        <f>F502</f>
        <v/>
      </c>
      <c r="M502" s="11">
        <f>I502*K502</f>
        <v/>
      </c>
      <c r="N502" s="12">
        <f>LN(G502)</f>
        <v/>
      </c>
      <c r="O502" s="12">
        <f>H502*Beta_0+I502*Beta_1+J502*Beta_2+K502*Beta_3+L502*Beta_4+M502*Beta_5</f>
        <v/>
      </c>
      <c r="P502" s="12">
        <f>N502-O502</f>
        <v/>
      </c>
      <c r="Q502" s="13">
        <f>EXP(O502)*Smearing_Factor</f>
        <v/>
      </c>
    </row>
    <row r="503">
      <c r="A503" t="n">
        <v>502</v>
      </c>
      <c r="B503" t="inlineStr">
        <is>
          <t>Education</t>
        </is>
      </c>
      <c r="C503" s="9" t="n">
        <v>3.09</v>
      </c>
      <c r="D503" t="n">
        <v>3</v>
      </c>
      <c r="E503" t="n">
        <v>0</v>
      </c>
      <c r="F503" t="n">
        <v>0</v>
      </c>
      <c r="G503" s="10" t="n">
        <v>1470</v>
      </c>
      <c r="H503" t="n">
        <v>1</v>
      </c>
      <c r="I503" s="11">
        <f>C503-CGPA_Mean</f>
        <v/>
      </c>
      <c r="J503">
        <f>D503</f>
        <v/>
      </c>
      <c r="K503">
        <f>E503</f>
        <v/>
      </c>
      <c r="L503">
        <f>F503</f>
        <v/>
      </c>
      <c r="M503" s="11">
        <f>I503*K503</f>
        <v/>
      </c>
      <c r="N503" s="12">
        <f>LN(G503)</f>
        <v/>
      </c>
      <c r="O503" s="12">
        <f>H503*Beta_0+I503*Beta_1+J503*Beta_2+K503*Beta_3+L503*Beta_4+M503*Beta_5</f>
        <v/>
      </c>
      <c r="P503" s="12">
        <f>N503-O503</f>
        <v/>
      </c>
      <c r="Q503" s="13">
        <f>EXP(O503)*Smearing_Factor</f>
        <v/>
      </c>
    </row>
    <row r="504">
      <c r="A504" t="n">
        <v>503</v>
      </c>
      <c r="B504" t="inlineStr">
        <is>
          <t>Arts and humanities</t>
        </is>
      </c>
      <c r="C504" s="9" t="n">
        <v>3.17</v>
      </c>
      <c r="D504" t="n">
        <v>6</v>
      </c>
      <c r="E504" t="n">
        <v>0</v>
      </c>
      <c r="F504" t="n">
        <v>0</v>
      </c>
      <c r="G504" s="10" t="n">
        <v>760</v>
      </c>
      <c r="H504" t="n">
        <v>1</v>
      </c>
      <c r="I504" s="11">
        <f>C504-CGPA_Mean</f>
        <v/>
      </c>
      <c r="J504">
        <f>D504</f>
        <v/>
      </c>
      <c r="K504">
        <f>E504</f>
        <v/>
      </c>
      <c r="L504">
        <f>F504</f>
        <v/>
      </c>
      <c r="M504" s="11">
        <f>I504*K504</f>
        <v/>
      </c>
      <c r="N504" s="12">
        <f>LN(G504)</f>
        <v/>
      </c>
      <c r="O504" s="12">
        <f>H504*Beta_0+I504*Beta_1+J504*Beta_2+K504*Beta_3+L504*Beta_4+M504*Beta_5</f>
        <v/>
      </c>
      <c r="P504" s="12">
        <f>N504-O504</f>
        <v/>
      </c>
      <c r="Q504" s="13">
        <f>EXP(O504)*Smearing_Factor</f>
        <v/>
      </c>
    </row>
    <row r="505">
      <c r="A505" t="n">
        <v>504</v>
      </c>
      <c r="B505" t="inlineStr">
        <is>
          <t>Natural sciences, mathematics and statistics</t>
        </is>
      </c>
      <c r="C505" s="9" t="n">
        <v>3.68</v>
      </c>
      <c r="D505" t="n">
        <v>6</v>
      </c>
      <c r="E505" t="n">
        <v>1</v>
      </c>
      <c r="F505" t="n">
        <v>0</v>
      </c>
      <c r="G505" s="10" t="n">
        <v>2040</v>
      </c>
      <c r="H505" t="n">
        <v>1</v>
      </c>
      <c r="I505" s="11">
        <f>C505-CGPA_Mean</f>
        <v/>
      </c>
      <c r="J505">
        <f>D505</f>
        <v/>
      </c>
      <c r="K505">
        <f>E505</f>
        <v/>
      </c>
      <c r="L505">
        <f>F505</f>
        <v/>
      </c>
      <c r="M505" s="11">
        <f>I505*K505</f>
        <v/>
      </c>
      <c r="N505" s="12">
        <f>LN(G505)</f>
        <v/>
      </c>
      <c r="O505" s="12">
        <f>H505*Beta_0+I505*Beta_1+J505*Beta_2+K505*Beta_3+L505*Beta_4+M505*Beta_5</f>
        <v/>
      </c>
      <c r="P505" s="12">
        <f>N505-O505</f>
        <v/>
      </c>
      <c r="Q505" s="13">
        <f>EXP(O505)*Smearing_Factor</f>
        <v/>
      </c>
    </row>
    <row r="506">
      <c r="A506" t="n">
        <v>505</v>
      </c>
      <c r="B506" t="inlineStr">
        <is>
          <t>Engineering, manufacturing and construction</t>
        </is>
      </c>
      <c r="C506" s="9" t="n">
        <v>3.74</v>
      </c>
      <c r="D506" t="n">
        <v>6</v>
      </c>
      <c r="E506" t="n">
        <v>1</v>
      </c>
      <c r="F506" t="n">
        <v>0</v>
      </c>
      <c r="G506" s="10" t="n">
        <v>4770</v>
      </c>
      <c r="H506" t="n">
        <v>1</v>
      </c>
      <c r="I506" s="11">
        <f>C506-CGPA_Mean</f>
        <v/>
      </c>
      <c r="J506">
        <f>D506</f>
        <v/>
      </c>
      <c r="K506">
        <f>E506</f>
        <v/>
      </c>
      <c r="L506">
        <f>F506</f>
        <v/>
      </c>
      <c r="M506" s="11">
        <f>I506*K506</f>
        <v/>
      </c>
      <c r="N506" s="12">
        <f>LN(G506)</f>
        <v/>
      </c>
      <c r="O506" s="12">
        <f>H506*Beta_0+I506*Beta_1+J506*Beta_2+K506*Beta_3+L506*Beta_4+M506*Beta_5</f>
        <v/>
      </c>
      <c r="P506" s="12">
        <f>N506-O506</f>
        <v/>
      </c>
      <c r="Q506" s="13">
        <f>EXP(O506)*Smearing_Factor</f>
        <v/>
      </c>
    </row>
    <row r="507">
      <c r="A507" t="n">
        <v>506</v>
      </c>
      <c r="B507" t="inlineStr">
        <is>
          <t>Social sciences, journalism and information</t>
        </is>
      </c>
      <c r="C507" s="9" t="n">
        <v>2.74</v>
      </c>
      <c r="D507" t="n">
        <v>3</v>
      </c>
      <c r="E507" t="n">
        <v>0</v>
      </c>
      <c r="F507" t="n">
        <v>1</v>
      </c>
      <c r="G507" s="10" t="n">
        <v>2090</v>
      </c>
      <c r="H507" t="n">
        <v>1</v>
      </c>
      <c r="I507" s="11">
        <f>C507-CGPA_Mean</f>
        <v/>
      </c>
      <c r="J507">
        <f>D507</f>
        <v/>
      </c>
      <c r="K507">
        <f>E507</f>
        <v/>
      </c>
      <c r="L507">
        <f>F507</f>
        <v/>
      </c>
      <c r="M507" s="11">
        <f>I507*K507</f>
        <v/>
      </c>
      <c r="N507" s="12">
        <f>LN(G507)</f>
        <v/>
      </c>
      <c r="O507" s="12">
        <f>H507*Beta_0+I507*Beta_1+J507*Beta_2+K507*Beta_3+L507*Beta_4+M507*Beta_5</f>
        <v/>
      </c>
      <c r="P507" s="12">
        <f>N507-O507</f>
        <v/>
      </c>
      <c r="Q507" s="13">
        <f>EXP(O507)*Smearing_Factor</f>
        <v/>
      </c>
    </row>
    <row r="508">
      <c r="A508" t="n">
        <v>507</v>
      </c>
      <c r="B508" t="inlineStr">
        <is>
          <t>Arts and humanities</t>
        </is>
      </c>
      <c r="C508" s="9" t="n">
        <v>3.62</v>
      </c>
      <c r="D508" t="n">
        <v>6</v>
      </c>
      <c r="E508" t="n">
        <v>0</v>
      </c>
      <c r="F508" t="n">
        <v>1</v>
      </c>
      <c r="G508" s="10" t="n">
        <v>1990</v>
      </c>
      <c r="H508" t="n">
        <v>1</v>
      </c>
      <c r="I508" s="11">
        <f>C508-CGPA_Mean</f>
        <v/>
      </c>
      <c r="J508">
        <f>D508</f>
        <v/>
      </c>
      <c r="K508">
        <f>E508</f>
        <v/>
      </c>
      <c r="L508">
        <f>F508</f>
        <v/>
      </c>
      <c r="M508" s="11">
        <f>I508*K508</f>
        <v/>
      </c>
      <c r="N508" s="12">
        <f>LN(G508)</f>
        <v/>
      </c>
      <c r="O508" s="12">
        <f>H508*Beta_0+I508*Beta_1+J508*Beta_2+K508*Beta_3+L508*Beta_4+M508*Beta_5</f>
        <v/>
      </c>
      <c r="P508" s="12">
        <f>N508-O508</f>
        <v/>
      </c>
      <c r="Q508" s="13">
        <f>EXP(O508)*Smearing_Factor</f>
        <v/>
      </c>
    </row>
    <row r="509">
      <c r="A509" t="n">
        <v>508</v>
      </c>
      <c r="B509" t="inlineStr">
        <is>
          <t>Business, administration and law</t>
        </is>
      </c>
      <c r="C509" s="9" t="n">
        <v>3.08</v>
      </c>
      <c r="D509" t="n">
        <v>6</v>
      </c>
      <c r="E509" t="n">
        <v>0</v>
      </c>
      <c r="F509" t="n">
        <v>0</v>
      </c>
      <c r="G509" s="10" t="n">
        <v>1930</v>
      </c>
      <c r="H509" t="n">
        <v>1</v>
      </c>
      <c r="I509" s="11">
        <f>C509-CGPA_Mean</f>
        <v/>
      </c>
      <c r="J509">
        <f>D509</f>
        <v/>
      </c>
      <c r="K509">
        <f>E509</f>
        <v/>
      </c>
      <c r="L509">
        <f>F509</f>
        <v/>
      </c>
      <c r="M509" s="11">
        <f>I509*K509</f>
        <v/>
      </c>
      <c r="N509" s="12">
        <f>LN(G509)</f>
        <v/>
      </c>
      <c r="O509" s="12">
        <f>H509*Beta_0+I509*Beta_1+J509*Beta_2+K509*Beta_3+L509*Beta_4+M509*Beta_5</f>
        <v/>
      </c>
      <c r="P509" s="12">
        <f>N509-O509</f>
        <v/>
      </c>
      <c r="Q509" s="13">
        <f>EXP(O509)*Smearing_Factor</f>
        <v/>
      </c>
    </row>
    <row r="510">
      <c r="A510" t="n">
        <v>509</v>
      </c>
      <c r="B510" t="inlineStr">
        <is>
          <t>Arts and humanities</t>
        </is>
      </c>
      <c r="C510" s="9" t="n">
        <v>3.37</v>
      </c>
      <c r="D510" t="n">
        <v>3</v>
      </c>
      <c r="E510" t="n">
        <v>0</v>
      </c>
      <c r="F510" t="n">
        <v>1</v>
      </c>
      <c r="G510" s="10" t="n">
        <v>3520</v>
      </c>
      <c r="H510" t="n">
        <v>1</v>
      </c>
      <c r="I510" s="11">
        <f>C510-CGPA_Mean</f>
        <v/>
      </c>
      <c r="J510">
        <f>D510</f>
        <v/>
      </c>
      <c r="K510">
        <f>E510</f>
        <v/>
      </c>
      <c r="L510">
        <f>F510</f>
        <v/>
      </c>
      <c r="M510" s="11">
        <f>I510*K510</f>
        <v/>
      </c>
      <c r="N510" s="12">
        <f>LN(G510)</f>
        <v/>
      </c>
      <c r="O510" s="12">
        <f>H510*Beta_0+I510*Beta_1+J510*Beta_2+K510*Beta_3+L510*Beta_4+M510*Beta_5</f>
        <v/>
      </c>
      <c r="P510" s="12">
        <f>N510-O510</f>
        <v/>
      </c>
      <c r="Q510" s="13">
        <f>EXP(O510)*Smearing_Factor</f>
        <v/>
      </c>
    </row>
    <row r="511">
      <c r="A511" t="n">
        <v>510</v>
      </c>
      <c r="B511" t="inlineStr">
        <is>
          <t>Business, administration and law</t>
        </is>
      </c>
      <c r="C511" s="9" t="n">
        <v>2.58</v>
      </c>
      <c r="D511" t="n">
        <v>6</v>
      </c>
      <c r="E511" t="n">
        <v>0</v>
      </c>
      <c r="F511" t="n">
        <v>0</v>
      </c>
      <c r="G511" s="10" t="n">
        <v>910</v>
      </c>
      <c r="H511" t="n">
        <v>1</v>
      </c>
      <c r="I511" s="11">
        <f>C511-CGPA_Mean</f>
        <v/>
      </c>
      <c r="J511">
        <f>D511</f>
        <v/>
      </c>
      <c r="K511">
        <f>E511</f>
        <v/>
      </c>
      <c r="L511">
        <f>F511</f>
        <v/>
      </c>
      <c r="M511" s="11">
        <f>I511*K511</f>
        <v/>
      </c>
      <c r="N511" s="12">
        <f>LN(G511)</f>
        <v/>
      </c>
      <c r="O511" s="12">
        <f>H511*Beta_0+I511*Beta_1+J511*Beta_2+K511*Beta_3+L511*Beta_4+M511*Beta_5</f>
        <v/>
      </c>
      <c r="P511" s="12">
        <f>N511-O511</f>
        <v/>
      </c>
      <c r="Q511" s="13">
        <f>EXP(O511)*Smearing_Factor</f>
        <v/>
      </c>
    </row>
    <row r="512">
      <c r="A512" t="n">
        <v>511</v>
      </c>
      <c r="B512" t="inlineStr">
        <is>
          <t>Engineering, manufacturing and construction</t>
        </is>
      </c>
      <c r="C512" s="9" t="n">
        <v>2.94</v>
      </c>
      <c r="D512" t="n">
        <v>6</v>
      </c>
      <c r="E512" t="n">
        <v>1</v>
      </c>
      <c r="F512" t="n">
        <v>0</v>
      </c>
      <c r="G512" s="10" t="n">
        <v>1830</v>
      </c>
      <c r="H512" t="n">
        <v>1</v>
      </c>
      <c r="I512" s="11">
        <f>C512-CGPA_Mean</f>
        <v/>
      </c>
      <c r="J512">
        <f>D512</f>
        <v/>
      </c>
      <c r="K512">
        <f>E512</f>
        <v/>
      </c>
      <c r="L512">
        <f>F512</f>
        <v/>
      </c>
      <c r="M512" s="11">
        <f>I512*K512</f>
        <v/>
      </c>
      <c r="N512" s="12">
        <f>LN(G512)</f>
        <v/>
      </c>
      <c r="O512" s="12">
        <f>H512*Beta_0+I512*Beta_1+J512*Beta_2+K512*Beta_3+L512*Beta_4+M512*Beta_5</f>
        <v/>
      </c>
      <c r="P512" s="12">
        <f>N512-O512</f>
        <v/>
      </c>
      <c r="Q512" s="13">
        <f>EXP(O512)*Smearing_Factor</f>
        <v/>
      </c>
    </row>
    <row r="513">
      <c r="A513" t="n">
        <v>512</v>
      </c>
      <c r="B513" t="inlineStr">
        <is>
          <t>Business, administration and law</t>
        </is>
      </c>
      <c r="C513" s="9" t="n">
        <v>3.6</v>
      </c>
      <c r="D513" t="n">
        <v>6</v>
      </c>
      <c r="E513" t="n">
        <v>0</v>
      </c>
      <c r="F513" t="n">
        <v>1</v>
      </c>
      <c r="G513" s="10" t="n">
        <v>3500</v>
      </c>
      <c r="H513" t="n">
        <v>1</v>
      </c>
      <c r="I513" s="11">
        <f>C513-CGPA_Mean</f>
        <v/>
      </c>
      <c r="J513">
        <f>D513</f>
        <v/>
      </c>
      <c r="K513">
        <f>E513</f>
        <v/>
      </c>
      <c r="L513">
        <f>F513</f>
        <v/>
      </c>
      <c r="M513" s="11">
        <f>I513*K513</f>
        <v/>
      </c>
      <c r="N513" s="12">
        <f>LN(G513)</f>
        <v/>
      </c>
      <c r="O513" s="12">
        <f>H513*Beta_0+I513*Beta_1+J513*Beta_2+K513*Beta_3+L513*Beta_4+M513*Beta_5</f>
        <v/>
      </c>
      <c r="P513" s="12">
        <f>N513-O513</f>
        <v/>
      </c>
      <c r="Q513" s="13">
        <f>EXP(O513)*Smearing_Factor</f>
        <v/>
      </c>
    </row>
    <row r="514">
      <c r="A514" t="n">
        <v>513</v>
      </c>
      <c r="B514" t="inlineStr">
        <is>
          <t>Health and welfare</t>
        </is>
      </c>
      <c r="C514" s="9" t="n">
        <v>3.41</v>
      </c>
      <c r="D514" t="n">
        <v>9</v>
      </c>
      <c r="E514" t="n">
        <v>0</v>
      </c>
      <c r="F514" t="n">
        <v>0</v>
      </c>
      <c r="G514" s="10" t="n">
        <v>1510</v>
      </c>
      <c r="H514" t="n">
        <v>1</v>
      </c>
      <c r="I514" s="11">
        <f>C514-CGPA_Mean</f>
        <v/>
      </c>
      <c r="J514">
        <f>D514</f>
        <v/>
      </c>
      <c r="K514">
        <f>E514</f>
        <v/>
      </c>
      <c r="L514">
        <f>F514</f>
        <v/>
      </c>
      <c r="M514" s="11">
        <f>I514*K514</f>
        <v/>
      </c>
      <c r="N514" s="12">
        <f>LN(G514)</f>
        <v/>
      </c>
      <c r="O514" s="12">
        <f>H514*Beta_0+I514*Beta_1+J514*Beta_2+K514*Beta_3+L514*Beta_4+M514*Beta_5</f>
        <v/>
      </c>
      <c r="P514" s="12">
        <f>N514-O514</f>
        <v/>
      </c>
      <c r="Q514" s="13">
        <f>EXP(O514)*Smearing_Factor</f>
        <v/>
      </c>
    </row>
    <row r="515">
      <c r="A515" t="n">
        <v>514</v>
      </c>
      <c r="B515" t="inlineStr">
        <is>
          <t>Engineering, manufacturing and construction</t>
        </is>
      </c>
      <c r="C515" s="9" t="n">
        <v>3.32</v>
      </c>
      <c r="D515" t="n">
        <v>9</v>
      </c>
      <c r="E515" t="n">
        <v>1</v>
      </c>
      <c r="F515" t="n">
        <v>0</v>
      </c>
      <c r="G515" s="10" t="n">
        <v>3590</v>
      </c>
      <c r="H515" t="n">
        <v>1</v>
      </c>
      <c r="I515" s="11">
        <f>C515-CGPA_Mean</f>
        <v/>
      </c>
      <c r="J515">
        <f>D515</f>
        <v/>
      </c>
      <c r="K515">
        <f>E515</f>
        <v/>
      </c>
      <c r="L515">
        <f>F515</f>
        <v/>
      </c>
      <c r="M515" s="11">
        <f>I515*K515</f>
        <v/>
      </c>
      <c r="N515" s="12">
        <f>LN(G515)</f>
        <v/>
      </c>
      <c r="O515" s="12">
        <f>H515*Beta_0+I515*Beta_1+J515*Beta_2+K515*Beta_3+L515*Beta_4+M515*Beta_5</f>
        <v/>
      </c>
      <c r="P515" s="12">
        <f>N515-O515</f>
        <v/>
      </c>
      <c r="Q515" s="13">
        <f>EXP(O515)*Smearing_Factor</f>
        <v/>
      </c>
    </row>
    <row r="516">
      <c r="A516" t="n">
        <v>515</v>
      </c>
      <c r="B516" t="inlineStr">
        <is>
          <t>Engineering, manufacturing and construction</t>
        </is>
      </c>
      <c r="C516" s="9" t="n">
        <v>2.96</v>
      </c>
      <c r="D516" t="n">
        <v>3</v>
      </c>
      <c r="E516" t="n">
        <v>1</v>
      </c>
      <c r="F516" t="n">
        <v>0</v>
      </c>
      <c r="G516" s="10" t="n">
        <v>1100</v>
      </c>
      <c r="H516" t="n">
        <v>1</v>
      </c>
      <c r="I516" s="11">
        <f>C516-CGPA_Mean</f>
        <v/>
      </c>
      <c r="J516">
        <f>D516</f>
        <v/>
      </c>
      <c r="K516">
        <f>E516</f>
        <v/>
      </c>
      <c r="L516">
        <f>F516</f>
        <v/>
      </c>
      <c r="M516" s="11">
        <f>I516*K516</f>
        <v/>
      </c>
      <c r="N516" s="12">
        <f>LN(G516)</f>
        <v/>
      </c>
      <c r="O516" s="12">
        <f>H516*Beta_0+I516*Beta_1+J516*Beta_2+K516*Beta_3+L516*Beta_4+M516*Beta_5</f>
        <v/>
      </c>
      <c r="P516" s="12">
        <f>N516-O516</f>
        <v/>
      </c>
      <c r="Q516" s="13">
        <f>EXP(O516)*Smearing_Factor</f>
        <v/>
      </c>
    </row>
    <row r="517">
      <c r="A517" t="n">
        <v>516</v>
      </c>
      <c r="B517" t="inlineStr">
        <is>
          <t>Arts and humanities</t>
        </is>
      </c>
      <c r="C517" s="9" t="n">
        <v>2.91</v>
      </c>
      <c r="D517" t="n">
        <v>9</v>
      </c>
      <c r="E517" t="n">
        <v>0</v>
      </c>
      <c r="F517" t="n">
        <v>0</v>
      </c>
      <c r="G517" s="10" t="n">
        <v>960</v>
      </c>
      <c r="H517" t="n">
        <v>1</v>
      </c>
      <c r="I517" s="11">
        <f>C517-CGPA_Mean</f>
        <v/>
      </c>
      <c r="J517">
        <f>D517</f>
        <v/>
      </c>
      <c r="K517">
        <f>E517</f>
        <v/>
      </c>
      <c r="L517">
        <f>F517</f>
        <v/>
      </c>
      <c r="M517" s="11">
        <f>I517*K517</f>
        <v/>
      </c>
      <c r="N517" s="12">
        <f>LN(G517)</f>
        <v/>
      </c>
      <c r="O517" s="12">
        <f>H517*Beta_0+I517*Beta_1+J517*Beta_2+K517*Beta_3+L517*Beta_4+M517*Beta_5</f>
        <v/>
      </c>
      <c r="P517" s="12">
        <f>N517-O517</f>
        <v/>
      </c>
      <c r="Q517" s="13">
        <f>EXP(O517)*Smearing_Factor</f>
        <v/>
      </c>
    </row>
    <row r="518">
      <c r="A518" t="n">
        <v>517</v>
      </c>
      <c r="B518" t="inlineStr">
        <is>
          <t>Information and communication technologies</t>
        </is>
      </c>
      <c r="C518" s="9" t="n">
        <v>3.24</v>
      </c>
      <c r="D518" t="n">
        <v>3</v>
      </c>
      <c r="E518" t="n">
        <v>1</v>
      </c>
      <c r="F518" t="n">
        <v>0</v>
      </c>
      <c r="G518" s="10" t="n">
        <v>2050</v>
      </c>
      <c r="H518" t="n">
        <v>1</v>
      </c>
      <c r="I518" s="11">
        <f>C518-CGPA_Mean</f>
        <v/>
      </c>
      <c r="J518">
        <f>D518</f>
        <v/>
      </c>
      <c r="K518">
        <f>E518</f>
        <v/>
      </c>
      <c r="L518">
        <f>F518</f>
        <v/>
      </c>
      <c r="M518" s="11">
        <f>I518*K518</f>
        <v/>
      </c>
      <c r="N518" s="12">
        <f>LN(G518)</f>
        <v/>
      </c>
      <c r="O518" s="12">
        <f>H518*Beta_0+I518*Beta_1+J518*Beta_2+K518*Beta_3+L518*Beta_4+M518*Beta_5</f>
        <v/>
      </c>
      <c r="P518" s="12">
        <f>N518-O518</f>
        <v/>
      </c>
      <c r="Q518" s="13">
        <f>EXP(O518)*Smearing_Factor</f>
        <v/>
      </c>
    </row>
    <row r="519">
      <c r="A519" t="n">
        <v>518</v>
      </c>
      <c r="B519" t="inlineStr">
        <is>
          <t>Engineering, manufacturing and construction</t>
        </is>
      </c>
      <c r="C519" s="9" t="n">
        <v>3.12</v>
      </c>
      <c r="D519" t="n">
        <v>3</v>
      </c>
      <c r="E519" t="n">
        <v>1</v>
      </c>
      <c r="F519" t="n">
        <v>0</v>
      </c>
      <c r="G519" s="10" t="n">
        <v>750</v>
      </c>
      <c r="H519" t="n">
        <v>1</v>
      </c>
      <c r="I519" s="11">
        <f>C519-CGPA_Mean</f>
        <v/>
      </c>
      <c r="J519">
        <f>D519</f>
        <v/>
      </c>
      <c r="K519">
        <f>E519</f>
        <v/>
      </c>
      <c r="L519">
        <f>F519</f>
        <v/>
      </c>
      <c r="M519" s="11">
        <f>I519*K519</f>
        <v/>
      </c>
      <c r="N519" s="12">
        <f>LN(G519)</f>
        <v/>
      </c>
      <c r="O519" s="12">
        <f>H519*Beta_0+I519*Beta_1+J519*Beta_2+K519*Beta_3+L519*Beta_4+M519*Beta_5</f>
        <v/>
      </c>
      <c r="P519" s="12">
        <f>N519-O519</f>
        <v/>
      </c>
      <c r="Q519" s="13">
        <f>EXP(O519)*Smearing_Factor</f>
        <v/>
      </c>
    </row>
    <row r="520">
      <c r="A520" t="n">
        <v>519</v>
      </c>
      <c r="B520" t="inlineStr">
        <is>
          <t>Business, administration and law</t>
        </is>
      </c>
      <c r="C520" s="9" t="n">
        <v>3.33</v>
      </c>
      <c r="D520" t="n">
        <v>6</v>
      </c>
      <c r="E520" t="n">
        <v>0</v>
      </c>
      <c r="F520" t="n">
        <v>0</v>
      </c>
      <c r="G520" s="10" t="n">
        <v>4280</v>
      </c>
      <c r="H520" t="n">
        <v>1</v>
      </c>
      <c r="I520" s="11">
        <f>C520-CGPA_Mean</f>
        <v/>
      </c>
      <c r="J520">
        <f>D520</f>
        <v/>
      </c>
      <c r="K520">
        <f>E520</f>
        <v/>
      </c>
      <c r="L520">
        <f>F520</f>
        <v/>
      </c>
      <c r="M520" s="11">
        <f>I520*K520</f>
        <v/>
      </c>
      <c r="N520" s="12">
        <f>LN(G520)</f>
        <v/>
      </c>
      <c r="O520" s="12">
        <f>H520*Beta_0+I520*Beta_1+J520*Beta_2+K520*Beta_3+L520*Beta_4+M520*Beta_5</f>
        <v/>
      </c>
      <c r="P520" s="12">
        <f>N520-O520</f>
        <v/>
      </c>
      <c r="Q520" s="13">
        <f>EXP(O520)*Smearing_Factor</f>
        <v/>
      </c>
    </row>
    <row r="521">
      <c r="A521" t="n">
        <v>520</v>
      </c>
      <c r="B521" t="inlineStr">
        <is>
          <t>Engineering, manufacturing and construction</t>
        </is>
      </c>
      <c r="C521" s="9" t="n">
        <v>3</v>
      </c>
      <c r="D521" t="n">
        <v>3</v>
      </c>
      <c r="E521" t="n">
        <v>1</v>
      </c>
      <c r="F521" t="n">
        <v>1</v>
      </c>
      <c r="G521" s="10" t="n">
        <v>2390</v>
      </c>
      <c r="H521" t="n">
        <v>1</v>
      </c>
      <c r="I521" s="11">
        <f>C521-CGPA_Mean</f>
        <v/>
      </c>
      <c r="J521">
        <f>D521</f>
        <v/>
      </c>
      <c r="K521">
        <f>E521</f>
        <v/>
      </c>
      <c r="L521">
        <f>F521</f>
        <v/>
      </c>
      <c r="M521" s="11">
        <f>I521*K521</f>
        <v/>
      </c>
      <c r="N521" s="12">
        <f>LN(G521)</f>
        <v/>
      </c>
      <c r="O521" s="12">
        <f>H521*Beta_0+I521*Beta_1+J521*Beta_2+K521*Beta_3+L521*Beta_4+M521*Beta_5</f>
        <v/>
      </c>
      <c r="P521" s="12">
        <f>N521-O521</f>
        <v/>
      </c>
      <c r="Q521" s="13">
        <f>EXP(O521)*Smearing_Factor</f>
        <v/>
      </c>
    </row>
    <row r="522">
      <c r="A522" t="n">
        <v>521</v>
      </c>
      <c r="B522" t="inlineStr">
        <is>
          <t>Business, administration and law</t>
        </is>
      </c>
      <c r="C522" s="9" t="n">
        <v>3.22</v>
      </c>
      <c r="D522" t="n">
        <v>6</v>
      </c>
      <c r="E522" t="n">
        <v>0</v>
      </c>
      <c r="F522" t="n">
        <v>0</v>
      </c>
      <c r="G522" s="10" t="n">
        <v>3660</v>
      </c>
      <c r="H522" t="n">
        <v>1</v>
      </c>
      <c r="I522" s="11">
        <f>C522-CGPA_Mean</f>
        <v/>
      </c>
      <c r="J522">
        <f>D522</f>
        <v/>
      </c>
      <c r="K522">
        <f>E522</f>
        <v/>
      </c>
      <c r="L522">
        <f>F522</f>
        <v/>
      </c>
      <c r="M522" s="11">
        <f>I522*K522</f>
        <v/>
      </c>
      <c r="N522" s="12">
        <f>LN(G522)</f>
        <v/>
      </c>
      <c r="O522" s="12">
        <f>H522*Beta_0+I522*Beta_1+J522*Beta_2+K522*Beta_3+L522*Beta_4+M522*Beta_5</f>
        <v/>
      </c>
      <c r="P522" s="12">
        <f>N522-O522</f>
        <v/>
      </c>
      <c r="Q522" s="13">
        <f>EXP(O522)*Smearing_Factor</f>
        <v/>
      </c>
    </row>
    <row r="523">
      <c r="A523" t="n">
        <v>522</v>
      </c>
      <c r="B523" t="inlineStr">
        <is>
          <t>Business, administration and law</t>
        </is>
      </c>
      <c r="C523" s="9" t="n">
        <v>2.77</v>
      </c>
      <c r="D523" t="n">
        <v>6</v>
      </c>
      <c r="E523" t="n">
        <v>0</v>
      </c>
      <c r="F523" t="n">
        <v>0</v>
      </c>
      <c r="G523" s="10" t="n">
        <v>4700</v>
      </c>
      <c r="H523" t="n">
        <v>1</v>
      </c>
      <c r="I523" s="11">
        <f>C523-CGPA_Mean</f>
        <v/>
      </c>
      <c r="J523">
        <f>D523</f>
        <v/>
      </c>
      <c r="K523">
        <f>E523</f>
        <v/>
      </c>
      <c r="L523">
        <f>F523</f>
        <v/>
      </c>
      <c r="M523" s="11">
        <f>I523*K523</f>
        <v/>
      </c>
      <c r="N523" s="12">
        <f>LN(G523)</f>
        <v/>
      </c>
      <c r="O523" s="12">
        <f>H523*Beta_0+I523*Beta_1+J523*Beta_2+K523*Beta_3+L523*Beta_4+M523*Beta_5</f>
        <v/>
      </c>
      <c r="P523" s="12">
        <f>N523-O523</f>
        <v/>
      </c>
      <c r="Q523" s="13">
        <f>EXP(O523)*Smearing_Factor</f>
        <v/>
      </c>
    </row>
    <row r="524">
      <c r="A524" t="n">
        <v>523</v>
      </c>
      <c r="B524" t="inlineStr">
        <is>
          <t>Business, administration and law</t>
        </is>
      </c>
      <c r="C524" s="9" t="n">
        <v>3.35</v>
      </c>
      <c r="D524" t="n">
        <v>6</v>
      </c>
      <c r="E524" t="n">
        <v>0</v>
      </c>
      <c r="F524" t="n">
        <v>1</v>
      </c>
      <c r="G524" s="10" t="n">
        <v>3870</v>
      </c>
      <c r="H524" t="n">
        <v>1</v>
      </c>
      <c r="I524" s="11">
        <f>C524-CGPA_Mean</f>
        <v/>
      </c>
      <c r="J524">
        <f>D524</f>
        <v/>
      </c>
      <c r="K524">
        <f>E524</f>
        <v/>
      </c>
      <c r="L524">
        <f>F524</f>
        <v/>
      </c>
      <c r="M524" s="11">
        <f>I524*K524</f>
        <v/>
      </c>
      <c r="N524" s="12">
        <f>LN(G524)</f>
        <v/>
      </c>
      <c r="O524" s="12">
        <f>H524*Beta_0+I524*Beta_1+J524*Beta_2+K524*Beta_3+L524*Beta_4+M524*Beta_5</f>
        <v/>
      </c>
      <c r="P524" s="12">
        <f>N524-O524</f>
        <v/>
      </c>
      <c r="Q524" s="13">
        <f>EXP(O524)*Smearing_Factor</f>
        <v/>
      </c>
    </row>
    <row r="525">
      <c r="A525" t="n">
        <v>524</v>
      </c>
      <c r="B525" t="inlineStr">
        <is>
          <t>Business, administration and law</t>
        </is>
      </c>
      <c r="C525" s="9" t="n">
        <v>3.14</v>
      </c>
      <c r="D525" t="n">
        <v>6</v>
      </c>
      <c r="E525" t="n">
        <v>0</v>
      </c>
      <c r="F525" t="n">
        <v>1</v>
      </c>
      <c r="G525" s="10" t="n">
        <v>1890</v>
      </c>
      <c r="H525" t="n">
        <v>1</v>
      </c>
      <c r="I525" s="11">
        <f>C525-CGPA_Mean</f>
        <v/>
      </c>
      <c r="J525">
        <f>D525</f>
        <v/>
      </c>
      <c r="K525">
        <f>E525</f>
        <v/>
      </c>
      <c r="L525">
        <f>F525</f>
        <v/>
      </c>
      <c r="M525" s="11">
        <f>I525*K525</f>
        <v/>
      </c>
      <c r="N525" s="12">
        <f>LN(G525)</f>
        <v/>
      </c>
      <c r="O525" s="12">
        <f>H525*Beta_0+I525*Beta_1+J525*Beta_2+K525*Beta_3+L525*Beta_4+M525*Beta_5</f>
        <v/>
      </c>
      <c r="P525" s="12">
        <f>N525-O525</f>
        <v/>
      </c>
      <c r="Q525" s="13">
        <f>EXP(O525)*Smearing_Factor</f>
        <v/>
      </c>
    </row>
    <row r="526">
      <c r="A526" t="n">
        <v>525</v>
      </c>
      <c r="B526" t="inlineStr">
        <is>
          <t>Business, administration and law</t>
        </is>
      </c>
      <c r="C526" s="9" t="n">
        <v>3.78</v>
      </c>
      <c r="D526" t="n">
        <v>6</v>
      </c>
      <c r="E526" t="n">
        <v>0</v>
      </c>
      <c r="F526" t="n">
        <v>1</v>
      </c>
      <c r="G526" s="10" t="n">
        <v>3850</v>
      </c>
      <c r="H526" t="n">
        <v>1</v>
      </c>
      <c r="I526" s="11">
        <f>C526-CGPA_Mean</f>
        <v/>
      </c>
      <c r="J526">
        <f>D526</f>
        <v/>
      </c>
      <c r="K526">
        <f>E526</f>
        <v/>
      </c>
      <c r="L526">
        <f>F526</f>
        <v/>
      </c>
      <c r="M526" s="11">
        <f>I526*K526</f>
        <v/>
      </c>
      <c r="N526" s="12">
        <f>LN(G526)</f>
        <v/>
      </c>
      <c r="O526" s="12">
        <f>H526*Beta_0+I526*Beta_1+J526*Beta_2+K526*Beta_3+L526*Beta_4+M526*Beta_5</f>
        <v/>
      </c>
      <c r="P526" s="12">
        <f>N526-O526</f>
        <v/>
      </c>
      <c r="Q526" s="13">
        <f>EXP(O526)*Smearing_Factor</f>
        <v/>
      </c>
    </row>
    <row r="527">
      <c r="A527" t="n">
        <v>526</v>
      </c>
      <c r="B527" t="inlineStr">
        <is>
          <t>Health and welfare</t>
        </is>
      </c>
      <c r="C527" s="9" t="n">
        <v>3.11</v>
      </c>
      <c r="D527" t="n">
        <v>6</v>
      </c>
      <c r="E527" t="n">
        <v>0</v>
      </c>
      <c r="F527" t="n">
        <v>0</v>
      </c>
      <c r="G527" s="10" t="n">
        <v>4230</v>
      </c>
      <c r="H527" t="n">
        <v>1</v>
      </c>
      <c r="I527" s="11">
        <f>C527-CGPA_Mean</f>
        <v/>
      </c>
      <c r="J527">
        <f>D527</f>
        <v/>
      </c>
      <c r="K527">
        <f>E527</f>
        <v/>
      </c>
      <c r="L527">
        <f>F527</f>
        <v/>
      </c>
      <c r="M527" s="11">
        <f>I527*K527</f>
        <v/>
      </c>
      <c r="N527" s="12">
        <f>LN(G527)</f>
        <v/>
      </c>
      <c r="O527" s="12">
        <f>H527*Beta_0+I527*Beta_1+J527*Beta_2+K527*Beta_3+L527*Beta_4+M527*Beta_5</f>
        <v/>
      </c>
      <c r="P527" s="12">
        <f>N527-O527</f>
        <v/>
      </c>
      <c r="Q527" s="13">
        <f>EXP(O527)*Smearing_Factor</f>
        <v/>
      </c>
    </row>
    <row r="528">
      <c r="A528" t="n">
        <v>527</v>
      </c>
      <c r="B528" t="inlineStr">
        <is>
          <t>Natural sciences, mathematics and statistics</t>
        </is>
      </c>
      <c r="C528" s="9" t="n">
        <v>3.63</v>
      </c>
      <c r="D528" t="n">
        <v>3</v>
      </c>
      <c r="E528" t="n">
        <v>1</v>
      </c>
      <c r="F528" t="n">
        <v>0</v>
      </c>
      <c r="G528" s="10" t="n">
        <v>1970</v>
      </c>
      <c r="H528" t="n">
        <v>1</v>
      </c>
      <c r="I528" s="11">
        <f>C528-CGPA_Mean</f>
        <v/>
      </c>
      <c r="J528">
        <f>D528</f>
        <v/>
      </c>
      <c r="K528">
        <f>E528</f>
        <v/>
      </c>
      <c r="L528">
        <f>F528</f>
        <v/>
      </c>
      <c r="M528" s="11">
        <f>I528*K528</f>
        <v/>
      </c>
      <c r="N528" s="12">
        <f>LN(G528)</f>
        <v/>
      </c>
      <c r="O528" s="12">
        <f>H528*Beta_0+I528*Beta_1+J528*Beta_2+K528*Beta_3+L528*Beta_4+M528*Beta_5</f>
        <v/>
      </c>
      <c r="P528" s="12">
        <f>N528-O528</f>
        <v/>
      </c>
      <c r="Q528" s="13">
        <f>EXP(O528)*Smearing_Factor</f>
        <v/>
      </c>
    </row>
    <row r="529">
      <c r="A529" t="n">
        <v>528</v>
      </c>
      <c r="B529" t="inlineStr">
        <is>
          <t>Engineering, manufacturing and construction</t>
        </is>
      </c>
      <c r="C529" s="9" t="n">
        <v>3.48</v>
      </c>
      <c r="D529" t="n">
        <v>9</v>
      </c>
      <c r="E529" t="n">
        <v>1</v>
      </c>
      <c r="F529" t="n">
        <v>0</v>
      </c>
      <c r="G529" s="10" t="n">
        <v>3300</v>
      </c>
      <c r="H529" t="n">
        <v>1</v>
      </c>
      <c r="I529" s="11">
        <f>C529-CGPA_Mean</f>
        <v/>
      </c>
      <c r="J529">
        <f>D529</f>
        <v/>
      </c>
      <c r="K529">
        <f>E529</f>
        <v/>
      </c>
      <c r="L529">
        <f>F529</f>
        <v/>
      </c>
      <c r="M529" s="11">
        <f>I529*K529</f>
        <v/>
      </c>
      <c r="N529" s="12">
        <f>LN(G529)</f>
        <v/>
      </c>
      <c r="O529" s="12">
        <f>H529*Beta_0+I529*Beta_1+J529*Beta_2+K529*Beta_3+L529*Beta_4+M529*Beta_5</f>
        <v/>
      </c>
      <c r="P529" s="12">
        <f>N529-O529</f>
        <v/>
      </c>
      <c r="Q529" s="13">
        <f>EXP(O529)*Smearing_Factor</f>
        <v/>
      </c>
    </row>
    <row r="530">
      <c r="A530" t="n">
        <v>529</v>
      </c>
      <c r="B530" t="inlineStr">
        <is>
          <t>Services</t>
        </is>
      </c>
      <c r="C530" s="9" t="n">
        <v>3.14</v>
      </c>
      <c r="D530" t="n">
        <v>6</v>
      </c>
      <c r="E530" t="n">
        <v>0</v>
      </c>
      <c r="F530" t="n">
        <v>0</v>
      </c>
      <c r="G530" s="10" t="n">
        <v>3090</v>
      </c>
      <c r="H530" t="n">
        <v>1</v>
      </c>
      <c r="I530" s="11">
        <f>C530-CGPA_Mean</f>
        <v/>
      </c>
      <c r="J530">
        <f>D530</f>
        <v/>
      </c>
      <c r="K530">
        <f>E530</f>
        <v/>
      </c>
      <c r="L530">
        <f>F530</f>
        <v/>
      </c>
      <c r="M530" s="11">
        <f>I530*K530</f>
        <v/>
      </c>
      <c r="N530" s="12">
        <f>LN(G530)</f>
        <v/>
      </c>
      <c r="O530" s="12">
        <f>H530*Beta_0+I530*Beta_1+J530*Beta_2+K530*Beta_3+L530*Beta_4+M530*Beta_5</f>
        <v/>
      </c>
      <c r="P530" s="12">
        <f>N530-O530</f>
        <v/>
      </c>
      <c r="Q530" s="13">
        <f>EXP(O530)*Smearing_Factor</f>
        <v/>
      </c>
    </row>
    <row r="531">
      <c r="A531" t="n">
        <v>530</v>
      </c>
      <c r="B531" t="inlineStr">
        <is>
          <t>Engineering, manufacturing and construction</t>
        </is>
      </c>
      <c r="C531" s="9" t="n">
        <v>2.46</v>
      </c>
      <c r="D531" t="n">
        <v>6</v>
      </c>
      <c r="E531" t="n">
        <v>1</v>
      </c>
      <c r="F531" t="n">
        <v>0</v>
      </c>
      <c r="G531" s="10" t="n">
        <v>2230</v>
      </c>
      <c r="H531" t="n">
        <v>1</v>
      </c>
      <c r="I531" s="11">
        <f>C531-CGPA_Mean</f>
        <v/>
      </c>
      <c r="J531">
        <f>D531</f>
        <v/>
      </c>
      <c r="K531">
        <f>E531</f>
        <v/>
      </c>
      <c r="L531">
        <f>F531</f>
        <v/>
      </c>
      <c r="M531" s="11">
        <f>I531*K531</f>
        <v/>
      </c>
      <c r="N531" s="12">
        <f>LN(G531)</f>
        <v/>
      </c>
      <c r="O531" s="12">
        <f>H531*Beta_0+I531*Beta_1+J531*Beta_2+K531*Beta_3+L531*Beta_4+M531*Beta_5</f>
        <v/>
      </c>
      <c r="P531" s="12">
        <f>N531-O531</f>
        <v/>
      </c>
      <c r="Q531" s="13">
        <f>EXP(O531)*Smearing_Factor</f>
        <v/>
      </c>
    </row>
    <row r="532">
      <c r="A532" t="n">
        <v>531</v>
      </c>
      <c r="B532" t="inlineStr">
        <is>
          <t>Business, administration and law</t>
        </is>
      </c>
      <c r="C532" s="9" t="n">
        <v>3.09</v>
      </c>
      <c r="D532" t="n">
        <v>3</v>
      </c>
      <c r="E532" t="n">
        <v>0</v>
      </c>
      <c r="F532" t="n">
        <v>0</v>
      </c>
      <c r="G532" s="10" t="n">
        <v>3620</v>
      </c>
      <c r="H532" t="n">
        <v>1</v>
      </c>
      <c r="I532" s="11">
        <f>C532-CGPA_Mean</f>
        <v/>
      </c>
      <c r="J532">
        <f>D532</f>
        <v/>
      </c>
      <c r="K532">
        <f>E532</f>
        <v/>
      </c>
      <c r="L532">
        <f>F532</f>
        <v/>
      </c>
      <c r="M532" s="11">
        <f>I532*K532</f>
        <v/>
      </c>
      <c r="N532" s="12">
        <f>LN(G532)</f>
        <v/>
      </c>
      <c r="O532" s="12">
        <f>H532*Beta_0+I532*Beta_1+J532*Beta_2+K532*Beta_3+L532*Beta_4+M532*Beta_5</f>
        <v/>
      </c>
      <c r="P532" s="12">
        <f>N532-O532</f>
        <v/>
      </c>
      <c r="Q532" s="13">
        <f>EXP(O532)*Smearing_Factor</f>
        <v/>
      </c>
    </row>
    <row r="533">
      <c r="A533" t="n">
        <v>532</v>
      </c>
      <c r="B533" t="inlineStr">
        <is>
          <t>Information and communication technologies</t>
        </is>
      </c>
      <c r="C533" s="9" t="n">
        <v>3.12</v>
      </c>
      <c r="D533" t="n">
        <v>9</v>
      </c>
      <c r="E533" t="n">
        <v>1</v>
      </c>
      <c r="F533" t="n">
        <v>0</v>
      </c>
      <c r="G533" s="10" t="n">
        <v>4430</v>
      </c>
      <c r="H533" t="n">
        <v>1</v>
      </c>
      <c r="I533" s="11">
        <f>C533-CGPA_Mean</f>
        <v/>
      </c>
      <c r="J533">
        <f>D533</f>
        <v/>
      </c>
      <c r="K533">
        <f>E533</f>
        <v/>
      </c>
      <c r="L533">
        <f>F533</f>
        <v/>
      </c>
      <c r="M533" s="11">
        <f>I533*K533</f>
        <v/>
      </c>
      <c r="N533" s="12">
        <f>LN(G533)</f>
        <v/>
      </c>
      <c r="O533" s="12">
        <f>H533*Beta_0+I533*Beta_1+J533*Beta_2+K533*Beta_3+L533*Beta_4+M533*Beta_5</f>
        <v/>
      </c>
      <c r="P533" s="12">
        <f>N533-O533</f>
        <v/>
      </c>
      <c r="Q533" s="13">
        <f>EXP(O533)*Smearing_Factor</f>
        <v/>
      </c>
    </row>
    <row r="534">
      <c r="A534" t="n">
        <v>533</v>
      </c>
      <c r="B534" t="inlineStr">
        <is>
          <t>Services</t>
        </is>
      </c>
      <c r="C534" s="9" t="n">
        <v>3.06</v>
      </c>
      <c r="D534" t="n">
        <v>6</v>
      </c>
      <c r="E534" t="n">
        <v>0</v>
      </c>
      <c r="F534" t="n">
        <v>1</v>
      </c>
      <c r="G534" s="10" t="n">
        <v>3810</v>
      </c>
      <c r="H534" t="n">
        <v>1</v>
      </c>
      <c r="I534" s="11">
        <f>C534-CGPA_Mean</f>
        <v/>
      </c>
      <c r="J534">
        <f>D534</f>
        <v/>
      </c>
      <c r="K534">
        <f>E534</f>
        <v/>
      </c>
      <c r="L534">
        <f>F534</f>
        <v/>
      </c>
      <c r="M534" s="11">
        <f>I534*K534</f>
        <v/>
      </c>
      <c r="N534" s="12">
        <f>LN(G534)</f>
        <v/>
      </c>
      <c r="O534" s="12">
        <f>H534*Beta_0+I534*Beta_1+J534*Beta_2+K534*Beta_3+L534*Beta_4+M534*Beta_5</f>
        <v/>
      </c>
      <c r="P534" s="12">
        <f>N534-O534</f>
        <v/>
      </c>
      <c r="Q534" s="13">
        <f>EXP(O534)*Smearing_Factor</f>
        <v/>
      </c>
    </row>
    <row r="535">
      <c r="A535" t="n">
        <v>534</v>
      </c>
      <c r="B535" t="inlineStr">
        <is>
          <t>Information and communication technologies</t>
        </is>
      </c>
      <c r="C535" s="9" t="n">
        <v>2.94</v>
      </c>
      <c r="D535" t="n">
        <v>6</v>
      </c>
      <c r="E535" t="n">
        <v>1</v>
      </c>
      <c r="F535" t="n">
        <v>0</v>
      </c>
      <c r="G535" s="10" t="n">
        <v>3310</v>
      </c>
      <c r="H535" t="n">
        <v>1</v>
      </c>
      <c r="I535" s="11">
        <f>C535-CGPA_Mean</f>
        <v/>
      </c>
      <c r="J535">
        <f>D535</f>
        <v/>
      </c>
      <c r="K535">
        <f>E535</f>
        <v/>
      </c>
      <c r="L535">
        <f>F535</f>
        <v/>
      </c>
      <c r="M535" s="11">
        <f>I535*K535</f>
        <v/>
      </c>
      <c r="N535" s="12">
        <f>LN(G535)</f>
        <v/>
      </c>
      <c r="O535" s="12">
        <f>H535*Beta_0+I535*Beta_1+J535*Beta_2+K535*Beta_3+L535*Beta_4+M535*Beta_5</f>
        <v/>
      </c>
      <c r="P535" s="12">
        <f>N535-O535</f>
        <v/>
      </c>
      <c r="Q535" s="13">
        <f>EXP(O535)*Smearing_Factor</f>
        <v/>
      </c>
    </row>
    <row r="536">
      <c r="A536" t="n">
        <v>535</v>
      </c>
      <c r="B536" t="inlineStr">
        <is>
          <t>Agriculture, forestry, fisheries and veterinary</t>
        </is>
      </c>
      <c r="C536" s="9" t="n">
        <v>3.49</v>
      </c>
      <c r="D536" t="n">
        <v>6</v>
      </c>
      <c r="E536" t="n">
        <v>0</v>
      </c>
      <c r="F536" t="n">
        <v>0</v>
      </c>
      <c r="G536" s="10" t="n">
        <v>1150</v>
      </c>
      <c r="H536" t="n">
        <v>1</v>
      </c>
      <c r="I536" s="11">
        <f>C536-CGPA_Mean</f>
        <v/>
      </c>
      <c r="J536">
        <f>D536</f>
        <v/>
      </c>
      <c r="K536">
        <f>E536</f>
        <v/>
      </c>
      <c r="L536">
        <f>F536</f>
        <v/>
      </c>
      <c r="M536" s="11">
        <f>I536*K536</f>
        <v/>
      </c>
      <c r="N536" s="12">
        <f>LN(G536)</f>
        <v/>
      </c>
      <c r="O536" s="12">
        <f>H536*Beta_0+I536*Beta_1+J536*Beta_2+K536*Beta_3+L536*Beta_4+M536*Beta_5</f>
        <v/>
      </c>
      <c r="P536" s="12">
        <f>N536-O536</f>
        <v/>
      </c>
      <c r="Q536" s="13">
        <f>EXP(O536)*Smearing_Factor</f>
        <v/>
      </c>
    </row>
    <row r="537">
      <c r="A537" t="n">
        <v>536</v>
      </c>
      <c r="B537" t="inlineStr">
        <is>
          <t>Business, administration and law</t>
        </is>
      </c>
      <c r="C537" s="9" t="n">
        <v>3.4</v>
      </c>
      <c r="D537" t="n">
        <v>3</v>
      </c>
      <c r="E537" t="n">
        <v>0</v>
      </c>
      <c r="F537" t="n">
        <v>1</v>
      </c>
      <c r="G537" s="10" t="n">
        <v>2420</v>
      </c>
      <c r="H537" t="n">
        <v>1</v>
      </c>
      <c r="I537" s="11">
        <f>C537-CGPA_Mean</f>
        <v/>
      </c>
      <c r="J537">
        <f>D537</f>
        <v/>
      </c>
      <c r="K537">
        <f>E537</f>
        <v/>
      </c>
      <c r="L537">
        <f>F537</f>
        <v/>
      </c>
      <c r="M537" s="11">
        <f>I537*K537</f>
        <v/>
      </c>
      <c r="N537" s="12">
        <f>LN(G537)</f>
        <v/>
      </c>
      <c r="O537" s="12">
        <f>H537*Beta_0+I537*Beta_1+J537*Beta_2+K537*Beta_3+L537*Beta_4+M537*Beta_5</f>
        <v/>
      </c>
      <c r="P537" s="12">
        <f>N537-O537</f>
        <v/>
      </c>
      <c r="Q537" s="13">
        <f>EXP(O537)*Smearing_Factor</f>
        <v/>
      </c>
    </row>
    <row r="538">
      <c r="A538" t="n">
        <v>537</v>
      </c>
      <c r="B538" t="inlineStr">
        <is>
          <t>Information and communication technologies</t>
        </is>
      </c>
      <c r="C538" s="9" t="n">
        <v>3.57</v>
      </c>
      <c r="D538" t="n">
        <v>6</v>
      </c>
      <c r="E538" t="n">
        <v>1</v>
      </c>
      <c r="F538" t="n">
        <v>0</v>
      </c>
      <c r="G538" s="10" t="n">
        <v>2820</v>
      </c>
      <c r="H538" t="n">
        <v>1</v>
      </c>
      <c r="I538" s="11">
        <f>C538-CGPA_Mean</f>
        <v/>
      </c>
      <c r="J538">
        <f>D538</f>
        <v/>
      </c>
      <c r="K538">
        <f>E538</f>
        <v/>
      </c>
      <c r="L538">
        <f>F538</f>
        <v/>
      </c>
      <c r="M538" s="11">
        <f>I538*K538</f>
        <v/>
      </c>
      <c r="N538" s="12">
        <f>LN(G538)</f>
        <v/>
      </c>
      <c r="O538" s="12">
        <f>H538*Beta_0+I538*Beta_1+J538*Beta_2+K538*Beta_3+L538*Beta_4+M538*Beta_5</f>
        <v/>
      </c>
      <c r="P538" s="12">
        <f>N538-O538</f>
        <v/>
      </c>
      <c r="Q538" s="13">
        <f>EXP(O538)*Smearing_Factor</f>
        <v/>
      </c>
    </row>
    <row r="539">
      <c r="A539" t="n">
        <v>538</v>
      </c>
      <c r="B539" t="inlineStr">
        <is>
          <t>Engineering, manufacturing and construction</t>
        </is>
      </c>
      <c r="C539" s="9" t="n">
        <v>2.91</v>
      </c>
      <c r="D539" t="n">
        <v>6</v>
      </c>
      <c r="E539" t="n">
        <v>1</v>
      </c>
      <c r="F539" t="n">
        <v>0</v>
      </c>
      <c r="G539" s="10" t="n">
        <v>620</v>
      </c>
      <c r="H539" t="n">
        <v>1</v>
      </c>
      <c r="I539" s="11">
        <f>C539-CGPA_Mean</f>
        <v/>
      </c>
      <c r="J539">
        <f>D539</f>
        <v/>
      </c>
      <c r="K539">
        <f>E539</f>
        <v/>
      </c>
      <c r="L539">
        <f>F539</f>
        <v/>
      </c>
      <c r="M539" s="11">
        <f>I539*K539</f>
        <v/>
      </c>
      <c r="N539" s="12">
        <f>LN(G539)</f>
        <v/>
      </c>
      <c r="O539" s="12">
        <f>H539*Beta_0+I539*Beta_1+J539*Beta_2+K539*Beta_3+L539*Beta_4+M539*Beta_5</f>
        <v/>
      </c>
      <c r="P539" s="12">
        <f>N539-O539</f>
        <v/>
      </c>
      <c r="Q539" s="13">
        <f>EXP(O539)*Smearing_Factor</f>
        <v/>
      </c>
    </row>
    <row r="540">
      <c r="A540" t="n">
        <v>539</v>
      </c>
      <c r="B540" t="inlineStr">
        <is>
          <t>Business, administration and law</t>
        </is>
      </c>
      <c r="C540" s="9" t="n">
        <v>2.25</v>
      </c>
      <c r="D540" t="n">
        <v>6</v>
      </c>
      <c r="E540" t="n">
        <v>0</v>
      </c>
      <c r="F540" t="n">
        <v>0</v>
      </c>
      <c r="G540" s="10" t="n">
        <v>1670</v>
      </c>
      <c r="H540" t="n">
        <v>1</v>
      </c>
      <c r="I540" s="11">
        <f>C540-CGPA_Mean</f>
        <v/>
      </c>
      <c r="J540">
        <f>D540</f>
        <v/>
      </c>
      <c r="K540">
        <f>E540</f>
        <v/>
      </c>
      <c r="L540">
        <f>F540</f>
        <v/>
      </c>
      <c r="M540" s="11">
        <f>I540*K540</f>
        <v/>
      </c>
      <c r="N540" s="12">
        <f>LN(G540)</f>
        <v/>
      </c>
      <c r="O540" s="12">
        <f>H540*Beta_0+I540*Beta_1+J540*Beta_2+K540*Beta_3+L540*Beta_4+M540*Beta_5</f>
        <v/>
      </c>
      <c r="P540" s="12">
        <f>N540-O540</f>
        <v/>
      </c>
      <c r="Q540" s="13">
        <f>EXP(O540)*Smearing_Factor</f>
        <v/>
      </c>
    </row>
    <row r="541">
      <c r="A541" t="n">
        <v>540</v>
      </c>
      <c r="B541" t="inlineStr">
        <is>
          <t>Education</t>
        </is>
      </c>
      <c r="C541" s="9" t="n">
        <v>2.51</v>
      </c>
      <c r="D541" t="n">
        <v>3</v>
      </c>
      <c r="E541" t="n">
        <v>0</v>
      </c>
      <c r="F541" t="n">
        <v>1</v>
      </c>
      <c r="G541" s="10" t="n">
        <v>1560</v>
      </c>
      <c r="H541" t="n">
        <v>1</v>
      </c>
      <c r="I541" s="11">
        <f>C541-CGPA_Mean</f>
        <v/>
      </c>
      <c r="J541">
        <f>D541</f>
        <v/>
      </c>
      <c r="K541">
        <f>E541</f>
        <v/>
      </c>
      <c r="L541">
        <f>F541</f>
        <v/>
      </c>
      <c r="M541" s="11">
        <f>I541*K541</f>
        <v/>
      </c>
      <c r="N541" s="12">
        <f>LN(G541)</f>
        <v/>
      </c>
      <c r="O541" s="12">
        <f>H541*Beta_0+I541*Beta_1+J541*Beta_2+K541*Beta_3+L541*Beta_4+M541*Beta_5</f>
        <v/>
      </c>
      <c r="P541" s="12">
        <f>N541-O541</f>
        <v/>
      </c>
      <c r="Q541" s="13">
        <f>EXP(O541)*Smearing_Factor</f>
        <v/>
      </c>
    </row>
    <row r="542">
      <c r="A542" t="n">
        <v>541</v>
      </c>
      <c r="B542" t="inlineStr">
        <is>
          <t>Business, administration and law</t>
        </is>
      </c>
      <c r="C542" s="9" t="n">
        <v>3.19</v>
      </c>
      <c r="D542" t="n">
        <v>6</v>
      </c>
      <c r="E542" t="n">
        <v>0</v>
      </c>
      <c r="F542" t="n">
        <v>1</v>
      </c>
      <c r="G542" s="10" t="n">
        <v>4590</v>
      </c>
      <c r="H542" t="n">
        <v>1</v>
      </c>
      <c r="I542" s="11">
        <f>C542-CGPA_Mean</f>
        <v/>
      </c>
      <c r="J542">
        <f>D542</f>
        <v/>
      </c>
      <c r="K542">
        <f>E542</f>
        <v/>
      </c>
      <c r="L542">
        <f>F542</f>
        <v/>
      </c>
      <c r="M542" s="11">
        <f>I542*K542</f>
        <v/>
      </c>
      <c r="N542" s="12">
        <f>LN(G542)</f>
        <v/>
      </c>
      <c r="O542" s="12">
        <f>H542*Beta_0+I542*Beta_1+J542*Beta_2+K542*Beta_3+L542*Beta_4+M542*Beta_5</f>
        <v/>
      </c>
      <c r="P542" s="12">
        <f>N542-O542</f>
        <v/>
      </c>
      <c r="Q542" s="13">
        <f>EXP(O542)*Smearing_Factor</f>
        <v/>
      </c>
    </row>
    <row r="543">
      <c r="A543" t="n">
        <v>542</v>
      </c>
      <c r="B543" t="inlineStr">
        <is>
          <t>Business, administration and law</t>
        </is>
      </c>
      <c r="C543" s="9" t="n">
        <v>3.49</v>
      </c>
      <c r="D543" t="n">
        <v>6</v>
      </c>
      <c r="E543" t="n">
        <v>0</v>
      </c>
      <c r="F543" t="n">
        <v>1</v>
      </c>
      <c r="G543" s="10" t="n">
        <v>1850</v>
      </c>
      <c r="H543" t="n">
        <v>1</v>
      </c>
      <c r="I543" s="11">
        <f>C543-CGPA_Mean</f>
        <v/>
      </c>
      <c r="J543">
        <f>D543</f>
        <v/>
      </c>
      <c r="K543">
        <f>E543</f>
        <v/>
      </c>
      <c r="L543">
        <f>F543</f>
        <v/>
      </c>
      <c r="M543" s="11">
        <f>I543*K543</f>
        <v/>
      </c>
      <c r="N543" s="12">
        <f>LN(G543)</f>
        <v/>
      </c>
      <c r="O543" s="12">
        <f>H543*Beta_0+I543*Beta_1+J543*Beta_2+K543*Beta_3+L543*Beta_4+M543*Beta_5</f>
        <v/>
      </c>
      <c r="P543" s="12">
        <f>N543-O543</f>
        <v/>
      </c>
      <c r="Q543" s="13">
        <f>EXP(O543)*Smearing_Factor</f>
        <v/>
      </c>
    </row>
    <row r="544">
      <c r="A544" t="n">
        <v>543</v>
      </c>
      <c r="B544" t="inlineStr">
        <is>
          <t>Arts and humanities</t>
        </is>
      </c>
      <c r="C544" s="9" t="n">
        <v>3.08</v>
      </c>
      <c r="D544" t="n">
        <v>6</v>
      </c>
      <c r="E544" t="n">
        <v>0</v>
      </c>
      <c r="F544" t="n">
        <v>1</v>
      </c>
      <c r="G544" s="10" t="n">
        <v>1820</v>
      </c>
      <c r="H544" t="n">
        <v>1</v>
      </c>
      <c r="I544" s="11">
        <f>C544-CGPA_Mean</f>
        <v/>
      </c>
      <c r="J544">
        <f>D544</f>
        <v/>
      </c>
      <c r="K544">
        <f>E544</f>
        <v/>
      </c>
      <c r="L544">
        <f>F544</f>
        <v/>
      </c>
      <c r="M544" s="11">
        <f>I544*K544</f>
        <v/>
      </c>
      <c r="N544" s="12">
        <f>LN(G544)</f>
        <v/>
      </c>
      <c r="O544" s="12">
        <f>H544*Beta_0+I544*Beta_1+J544*Beta_2+K544*Beta_3+L544*Beta_4+M544*Beta_5</f>
        <v/>
      </c>
      <c r="P544" s="12">
        <f>N544-O544</f>
        <v/>
      </c>
      <c r="Q544" s="13">
        <f>EXP(O544)*Smearing_Factor</f>
        <v/>
      </c>
    </row>
    <row r="545">
      <c r="A545" t="n">
        <v>544</v>
      </c>
      <c r="B545" t="inlineStr">
        <is>
          <t>Information and communication technologies</t>
        </is>
      </c>
      <c r="C545" s="9" t="n">
        <v>2.74</v>
      </c>
      <c r="D545" t="n">
        <v>3</v>
      </c>
      <c r="E545" t="n">
        <v>1</v>
      </c>
      <c r="F545" t="n">
        <v>1</v>
      </c>
      <c r="G545" s="10" t="n">
        <v>1540</v>
      </c>
      <c r="H545" t="n">
        <v>1</v>
      </c>
      <c r="I545" s="11">
        <f>C545-CGPA_Mean</f>
        <v/>
      </c>
      <c r="J545">
        <f>D545</f>
        <v/>
      </c>
      <c r="K545">
        <f>E545</f>
        <v/>
      </c>
      <c r="L545">
        <f>F545</f>
        <v/>
      </c>
      <c r="M545" s="11">
        <f>I545*K545</f>
        <v/>
      </c>
      <c r="N545" s="12">
        <f>LN(G545)</f>
        <v/>
      </c>
      <c r="O545" s="12">
        <f>H545*Beta_0+I545*Beta_1+J545*Beta_2+K545*Beta_3+L545*Beta_4+M545*Beta_5</f>
        <v/>
      </c>
      <c r="P545" s="12">
        <f>N545-O545</f>
        <v/>
      </c>
      <c r="Q545" s="13">
        <f>EXP(O545)*Smearing_Factor</f>
        <v/>
      </c>
    </row>
    <row r="546">
      <c r="A546" t="n">
        <v>545</v>
      </c>
      <c r="B546" t="inlineStr">
        <is>
          <t>Health and welfare</t>
        </is>
      </c>
      <c r="C546" s="9" t="n">
        <v>2.84</v>
      </c>
      <c r="D546" t="n">
        <v>6</v>
      </c>
      <c r="E546" t="n">
        <v>0</v>
      </c>
      <c r="F546" t="n">
        <v>0</v>
      </c>
      <c r="G546" s="10" t="n">
        <v>1100</v>
      </c>
      <c r="H546" t="n">
        <v>1</v>
      </c>
      <c r="I546" s="11">
        <f>C546-CGPA_Mean</f>
        <v/>
      </c>
      <c r="J546">
        <f>D546</f>
        <v/>
      </c>
      <c r="K546">
        <f>E546</f>
        <v/>
      </c>
      <c r="L546">
        <f>F546</f>
        <v/>
      </c>
      <c r="M546" s="11">
        <f>I546*K546</f>
        <v/>
      </c>
      <c r="N546" s="12">
        <f>LN(G546)</f>
        <v/>
      </c>
      <c r="O546" s="12">
        <f>H546*Beta_0+I546*Beta_1+J546*Beta_2+K546*Beta_3+L546*Beta_4+M546*Beta_5</f>
        <v/>
      </c>
      <c r="P546" s="12">
        <f>N546-O546</f>
        <v/>
      </c>
      <c r="Q546" s="13">
        <f>EXP(O546)*Smearing_Factor</f>
        <v/>
      </c>
    </row>
    <row r="547">
      <c r="A547" t="n">
        <v>546</v>
      </c>
      <c r="B547" t="inlineStr">
        <is>
          <t>Arts and humanities</t>
        </is>
      </c>
      <c r="C547" s="9" t="n">
        <v>2.68</v>
      </c>
      <c r="D547" t="n">
        <v>9</v>
      </c>
      <c r="E547" t="n">
        <v>0</v>
      </c>
      <c r="F547" t="n">
        <v>1</v>
      </c>
      <c r="G547" s="10" t="n">
        <v>2640</v>
      </c>
      <c r="H547" t="n">
        <v>1</v>
      </c>
      <c r="I547" s="11">
        <f>C547-CGPA_Mean</f>
        <v/>
      </c>
      <c r="J547">
        <f>D547</f>
        <v/>
      </c>
      <c r="K547">
        <f>E547</f>
        <v/>
      </c>
      <c r="L547">
        <f>F547</f>
        <v/>
      </c>
      <c r="M547" s="11">
        <f>I547*K547</f>
        <v/>
      </c>
      <c r="N547" s="12">
        <f>LN(G547)</f>
        <v/>
      </c>
      <c r="O547" s="12">
        <f>H547*Beta_0+I547*Beta_1+J547*Beta_2+K547*Beta_3+L547*Beta_4+M547*Beta_5</f>
        <v/>
      </c>
      <c r="P547" s="12">
        <f>N547-O547</f>
        <v/>
      </c>
      <c r="Q547" s="13">
        <f>EXP(O547)*Smearing_Factor</f>
        <v/>
      </c>
    </row>
    <row r="548">
      <c r="A548" t="n">
        <v>547</v>
      </c>
      <c r="B548" t="inlineStr">
        <is>
          <t>Information and communication technologies</t>
        </is>
      </c>
      <c r="C548" s="9" t="n">
        <v>3.63</v>
      </c>
      <c r="D548" t="n">
        <v>6</v>
      </c>
      <c r="E548" t="n">
        <v>1</v>
      </c>
      <c r="F548" t="n">
        <v>0</v>
      </c>
      <c r="G548" s="10" t="n">
        <v>1740</v>
      </c>
      <c r="H548" t="n">
        <v>1</v>
      </c>
      <c r="I548" s="11">
        <f>C548-CGPA_Mean</f>
        <v/>
      </c>
      <c r="J548">
        <f>D548</f>
        <v/>
      </c>
      <c r="K548">
        <f>E548</f>
        <v/>
      </c>
      <c r="L548">
        <f>F548</f>
        <v/>
      </c>
      <c r="M548" s="11">
        <f>I548*K548</f>
        <v/>
      </c>
      <c r="N548" s="12">
        <f>LN(G548)</f>
        <v/>
      </c>
      <c r="O548" s="12">
        <f>H548*Beta_0+I548*Beta_1+J548*Beta_2+K548*Beta_3+L548*Beta_4+M548*Beta_5</f>
        <v/>
      </c>
      <c r="P548" s="12">
        <f>N548-O548</f>
        <v/>
      </c>
      <c r="Q548" s="13">
        <f>EXP(O548)*Smearing_Factor</f>
        <v/>
      </c>
    </row>
    <row r="549">
      <c r="A549" t="n">
        <v>548</v>
      </c>
      <c r="B549" t="inlineStr">
        <is>
          <t>Business, administration and law</t>
        </is>
      </c>
      <c r="C549" s="9" t="n">
        <v>3.19</v>
      </c>
      <c r="D549" t="n">
        <v>6</v>
      </c>
      <c r="E549" t="n">
        <v>0</v>
      </c>
      <c r="F549" t="n">
        <v>1</v>
      </c>
      <c r="G549" s="10" t="n">
        <v>4470</v>
      </c>
      <c r="H549" t="n">
        <v>1</v>
      </c>
      <c r="I549" s="11">
        <f>C549-CGPA_Mean</f>
        <v/>
      </c>
      <c r="J549">
        <f>D549</f>
        <v/>
      </c>
      <c r="K549">
        <f>E549</f>
        <v/>
      </c>
      <c r="L549">
        <f>F549</f>
        <v/>
      </c>
      <c r="M549" s="11">
        <f>I549*K549</f>
        <v/>
      </c>
      <c r="N549" s="12">
        <f>LN(G549)</f>
        <v/>
      </c>
      <c r="O549" s="12">
        <f>H549*Beta_0+I549*Beta_1+J549*Beta_2+K549*Beta_3+L549*Beta_4+M549*Beta_5</f>
        <v/>
      </c>
      <c r="P549" s="12">
        <f>N549-O549</f>
        <v/>
      </c>
      <c r="Q549" s="13">
        <f>EXP(O549)*Smearing_Factor</f>
        <v/>
      </c>
    </row>
    <row r="550">
      <c r="A550" t="n">
        <v>549</v>
      </c>
      <c r="B550" t="inlineStr">
        <is>
          <t>Engineering, manufacturing and construction</t>
        </is>
      </c>
      <c r="C550" s="9" t="n">
        <v>3.74</v>
      </c>
      <c r="D550" t="n">
        <v>9</v>
      </c>
      <c r="E550" t="n">
        <v>1</v>
      </c>
      <c r="F550" t="n">
        <v>0</v>
      </c>
      <c r="G550" s="10" t="n">
        <v>2300</v>
      </c>
      <c r="H550" t="n">
        <v>1</v>
      </c>
      <c r="I550" s="11">
        <f>C550-CGPA_Mean</f>
        <v/>
      </c>
      <c r="J550">
        <f>D550</f>
        <v/>
      </c>
      <c r="K550">
        <f>E550</f>
        <v/>
      </c>
      <c r="L550">
        <f>F550</f>
        <v/>
      </c>
      <c r="M550" s="11">
        <f>I550*K550</f>
        <v/>
      </c>
      <c r="N550" s="12">
        <f>LN(G550)</f>
        <v/>
      </c>
      <c r="O550" s="12">
        <f>H550*Beta_0+I550*Beta_1+J550*Beta_2+K550*Beta_3+L550*Beta_4+M550*Beta_5</f>
        <v/>
      </c>
      <c r="P550" s="12">
        <f>N550-O550</f>
        <v/>
      </c>
      <c r="Q550" s="13">
        <f>EXP(O550)*Smearing_Factor</f>
        <v/>
      </c>
    </row>
    <row r="551">
      <c r="A551" t="n">
        <v>550</v>
      </c>
      <c r="B551" t="inlineStr">
        <is>
          <t>Engineering, manufacturing and construction</t>
        </is>
      </c>
      <c r="C551" s="9" t="n">
        <v>2.83</v>
      </c>
      <c r="D551" t="n">
        <v>9</v>
      </c>
      <c r="E551" t="n">
        <v>1</v>
      </c>
      <c r="F551" t="n">
        <v>0</v>
      </c>
      <c r="G551" s="10" t="n">
        <v>3060</v>
      </c>
      <c r="H551" t="n">
        <v>1</v>
      </c>
      <c r="I551" s="11">
        <f>C551-CGPA_Mean</f>
        <v/>
      </c>
      <c r="J551">
        <f>D551</f>
        <v/>
      </c>
      <c r="K551">
        <f>E551</f>
        <v/>
      </c>
      <c r="L551">
        <f>F551</f>
        <v/>
      </c>
      <c r="M551" s="11">
        <f>I551*K551</f>
        <v/>
      </c>
      <c r="N551" s="12">
        <f>LN(G551)</f>
        <v/>
      </c>
      <c r="O551" s="12">
        <f>H551*Beta_0+I551*Beta_1+J551*Beta_2+K551*Beta_3+L551*Beta_4+M551*Beta_5</f>
        <v/>
      </c>
      <c r="P551" s="12">
        <f>N551-O551</f>
        <v/>
      </c>
      <c r="Q551" s="13">
        <f>EXP(O551)*Smearing_Factor</f>
        <v/>
      </c>
    </row>
    <row r="552">
      <c r="A552" t="n">
        <v>551</v>
      </c>
      <c r="B552" t="inlineStr">
        <is>
          <t>Business, administration and law</t>
        </is>
      </c>
      <c r="C552" s="9" t="n">
        <v>3.29</v>
      </c>
      <c r="D552" t="n">
        <v>6</v>
      </c>
      <c r="E552" t="n">
        <v>0</v>
      </c>
      <c r="F552" t="n">
        <v>0</v>
      </c>
      <c r="G552" s="10" t="n">
        <v>4240</v>
      </c>
      <c r="H552" t="n">
        <v>1</v>
      </c>
      <c r="I552" s="11">
        <f>C552-CGPA_Mean</f>
        <v/>
      </c>
      <c r="J552">
        <f>D552</f>
        <v/>
      </c>
      <c r="K552">
        <f>E552</f>
        <v/>
      </c>
      <c r="L552">
        <f>F552</f>
        <v/>
      </c>
      <c r="M552" s="11">
        <f>I552*K552</f>
        <v/>
      </c>
      <c r="N552" s="12">
        <f>LN(G552)</f>
        <v/>
      </c>
      <c r="O552" s="12">
        <f>H552*Beta_0+I552*Beta_1+J552*Beta_2+K552*Beta_3+L552*Beta_4+M552*Beta_5</f>
        <v/>
      </c>
      <c r="P552" s="12">
        <f>N552-O552</f>
        <v/>
      </c>
      <c r="Q552" s="13">
        <f>EXP(O552)*Smearing_Factor</f>
        <v/>
      </c>
    </row>
    <row r="553">
      <c r="A553" t="n">
        <v>552</v>
      </c>
      <c r="B553" t="inlineStr">
        <is>
          <t>Business, administration and law</t>
        </is>
      </c>
      <c r="C553" s="9" t="n">
        <v>3.29</v>
      </c>
      <c r="D553" t="n">
        <v>9</v>
      </c>
      <c r="E553" t="n">
        <v>0</v>
      </c>
      <c r="F553" t="n">
        <v>0</v>
      </c>
      <c r="G553" s="10" t="n">
        <v>1530</v>
      </c>
      <c r="H553" t="n">
        <v>1</v>
      </c>
      <c r="I553" s="11">
        <f>C553-CGPA_Mean</f>
        <v/>
      </c>
      <c r="J553">
        <f>D553</f>
        <v/>
      </c>
      <c r="K553">
        <f>E553</f>
        <v/>
      </c>
      <c r="L553">
        <f>F553</f>
        <v/>
      </c>
      <c r="M553" s="11">
        <f>I553*K553</f>
        <v/>
      </c>
      <c r="N553" s="12">
        <f>LN(G553)</f>
        <v/>
      </c>
      <c r="O553" s="12">
        <f>H553*Beta_0+I553*Beta_1+J553*Beta_2+K553*Beta_3+L553*Beta_4+M553*Beta_5</f>
        <v/>
      </c>
      <c r="P553" s="12">
        <f>N553-O553</f>
        <v/>
      </c>
      <c r="Q553" s="13">
        <f>EXP(O553)*Smearing_Factor</f>
        <v/>
      </c>
    </row>
    <row r="554">
      <c r="A554" t="n">
        <v>553</v>
      </c>
      <c r="B554" t="inlineStr">
        <is>
          <t>Arts and humanities</t>
        </is>
      </c>
      <c r="C554" s="9" t="n">
        <v>3.23</v>
      </c>
      <c r="D554" t="n">
        <v>9</v>
      </c>
      <c r="E554" t="n">
        <v>0</v>
      </c>
      <c r="F554" t="n">
        <v>1</v>
      </c>
      <c r="G554" s="10" t="n">
        <v>3890</v>
      </c>
      <c r="H554" t="n">
        <v>1</v>
      </c>
      <c r="I554" s="11">
        <f>C554-CGPA_Mean</f>
        <v/>
      </c>
      <c r="J554">
        <f>D554</f>
        <v/>
      </c>
      <c r="K554">
        <f>E554</f>
        <v/>
      </c>
      <c r="L554">
        <f>F554</f>
        <v/>
      </c>
      <c r="M554" s="11">
        <f>I554*K554</f>
        <v/>
      </c>
      <c r="N554" s="12">
        <f>LN(G554)</f>
        <v/>
      </c>
      <c r="O554" s="12">
        <f>H554*Beta_0+I554*Beta_1+J554*Beta_2+K554*Beta_3+L554*Beta_4+M554*Beta_5</f>
        <v/>
      </c>
      <c r="P554" s="12">
        <f>N554-O554</f>
        <v/>
      </c>
      <c r="Q554" s="13">
        <f>EXP(O554)*Smearing_Factor</f>
        <v/>
      </c>
    </row>
    <row r="555">
      <c r="A555" t="n">
        <v>554</v>
      </c>
      <c r="B555" t="inlineStr">
        <is>
          <t>Arts and humanities</t>
        </is>
      </c>
      <c r="C555" s="9" t="n">
        <v>2.94</v>
      </c>
      <c r="D555" t="n">
        <v>3</v>
      </c>
      <c r="E555" t="n">
        <v>0</v>
      </c>
      <c r="F555" t="n">
        <v>1</v>
      </c>
      <c r="G555" s="10" t="n">
        <v>1020</v>
      </c>
      <c r="H555" t="n">
        <v>1</v>
      </c>
      <c r="I555" s="11">
        <f>C555-CGPA_Mean</f>
        <v/>
      </c>
      <c r="J555">
        <f>D555</f>
        <v/>
      </c>
      <c r="K555">
        <f>E555</f>
        <v/>
      </c>
      <c r="L555">
        <f>F555</f>
        <v/>
      </c>
      <c r="M555" s="11">
        <f>I555*K555</f>
        <v/>
      </c>
      <c r="N555" s="12">
        <f>LN(G555)</f>
        <v/>
      </c>
      <c r="O555" s="12">
        <f>H555*Beta_0+I555*Beta_1+J555*Beta_2+K555*Beta_3+L555*Beta_4+M555*Beta_5</f>
        <v/>
      </c>
      <c r="P555" s="12">
        <f>N555-O555</f>
        <v/>
      </c>
      <c r="Q555" s="13">
        <f>EXP(O555)*Smearing_Factor</f>
        <v/>
      </c>
    </row>
    <row r="556">
      <c r="A556" t="n">
        <v>555</v>
      </c>
      <c r="B556" t="inlineStr">
        <is>
          <t>Education</t>
        </is>
      </c>
      <c r="C556" s="9" t="n">
        <v>3.5</v>
      </c>
      <c r="D556" t="n">
        <v>6</v>
      </c>
      <c r="E556" t="n">
        <v>0</v>
      </c>
      <c r="F556" t="n">
        <v>1</v>
      </c>
      <c r="G556" s="10" t="n">
        <v>2360</v>
      </c>
      <c r="H556" t="n">
        <v>1</v>
      </c>
      <c r="I556" s="11">
        <f>C556-CGPA_Mean</f>
        <v/>
      </c>
      <c r="J556">
        <f>D556</f>
        <v/>
      </c>
      <c r="K556">
        <f>E556</f>
        <v/>
      </c>
      <c r="L556">
        <f>F556</f>
        <v/>
      </c>
      <c r="M556" s="11">
        <f>I556*K556</f>
        <v/>
      </c>
      <c r="N556" s="12">
        <f>LN(G556)</f>
        <v/>
      </c>
      <c r="O556" s="12">
        <f>H556*Beta_0+I556*Beta_1+J556*Beta_2+K556*Beta_3+L556*Beta_4+M556*Beta_5</f>
        <v/>
      </c>
      <c r="P556" s="12">
        <f>N556-O556</f>
        <v/>
      </c>
      <c r="Q556" s="13">
        <f>EXP(O556)*Smearing_Factor</f>
        <v/>
      </c>
    </row>
    <row r="557">
      <c r="A557" t="n">
        <v>556</v>
      </c>
      <c r="B557" t="inlineStr">
        <is>
          <t>Business, administration and law</t>
        </is>
      </c>
      <c r="C557" s="9" t="n">
        <v>2.65</v>
      </c>
      <c r="D557" t="n">
        <v>6</v>
      </c>
      <c r="E557" t="n">
        <v>0</v>
      </c>
      <c r="F557" t="n">
        <v>1</v>
      </c>
      <c r="G557" s="10" t="n">
        <v>2590</v>
      </c>
      <c r="H557" t="n">
        <v>1</v>
      </c>
      <c r="I557" s="11">
        <f>C557-CGPA_Mean</f>
        <v/>
      </c>
      <c r="J557">
        <f>D557</f>
        <v/>
      </c>
      <c r="K557">
        <f>E557</f>
        <v/>
      </c>
      <c r="L557">
        <f>F557</f>
        <v/>
      </c>
      <c r="M557" s="11">
        <f>I557*K557</f>
        <v/>
      </c>
      <c r="N557" s="12">
        <f>LN(G557)</f>
        <v/>
      </c>
      <c r="O557" s="12">
        <f>H557*Beta_0+I557*Beta_1+J557*Beta_2+K557*Beta_3+L557*Beta_4+M557*Beta_5</f>
        <v/>
      </c>
      <c r="P557" s="12">
        <f>N557-O557</f>
        <v/>
      </c>
      <c r="Q557" s="13">
        <f>EXP(O557)*Smearing_Factor</f>
        <v/>
      </c>
    </row>
    <row r="558">
      <c r="A558" t="n">
        <v>557</v>
      </c>
      <c r="B558" t="inlineStr">
        <is>
          <t>Information and communication technologies</t>
        </is>
      </c>
      <c r="C558" s="9" t="n">
        <v>3.23</v>
      </c>
      <c r="D558" t="n">
        <v>6</v>
      </c>
      <c r="E558" t="n">
        <v>1</v>
      </c>
      <c r="F558" t="n">
        <v>1</v>
      </c>
      <c r="G558" s="10" t="n">
        <v>1750</v>
      </c>
      <c r="H558" t="n">
        <v>1</v>
      </c>
      <c r="I558" s="11">
        <f>C558-CGPA_Mean</f>
        <v/>
      </c>
      <c r="J558">
        <f>D558</f>
        <v/>
      </c>
      <c r="K558">
        <f>E558</f>
        <v/>
      </c>
      <c r="L558">
        <f>F558</f>
        <v/>
      </c>
      <c r="M558" s="11">
        <f>I558*K558</f>
        <v/>
      </c>
      <c r="N558" s="12">
        <f>LN(G558)</f>
        <v/>
      </c>
      <c r="O558" s="12">
        <f>H558*Beta_0+I558*Beta_1+J558*Beta_2+K558*Beta_3+L558*Beta_4+M558*Beta_5</f>
        <v/>
      </c>
      <c r="P558" s="12">
        <f>N558-O558</f>
        <v/>
      </c>
      <c r="Q558" s="13">
        <f>EXP(O558)*Smearing_Factor</f>
        <v/>
      </c>
    </row>
    <row r="559">
      <c r="A559" t="n">
        <v>558</v>
      </c>
      <c r="B559" t="inlineStr">
        <is>
          <t>Business, administration and law</t>
        </is>
      </c>
      <c r="C559" s="9" t="n">
        <v>3.45</v>
      </c>
      <c r="D559" t="n">
        <v>6</v>
      </c>
      <c r="E559" t="n">
        <v>0</v>
      </c>
      <c r="F559" t="n">
        <v>1</v>
      </c>
      <c r="G559" s="10" t="n">
        <v>3680</v>
      </c>
      <c r="H559" t="n">
        <v>1</v>
      </c>
      <c r="I559" s="11">
        <f>C559-CGPA_Mean</f>
        <v/>
      </c>
      <c r="J559">
        <f>D559</f>
        <v/>
      </c>
      <c r="K559">
        <f>E559</f>
        <v/>
      </c>
      <c r="L559">
        <f>F559</f>
        <v/>
      </c>
      <c r="M559" s="11">
        <f>I559*K559</f>
        <v/>
      </c>
      <c r="N559" s="12">
        <f>LN(G559)</f>
        <v/>
      </c>
      <c r="O559" s="12">
        <f>H559*Beta_0+I559*Beta_1+J559*Beta_2+K559*Beta_3+L559*Beta_4+M559*Beta_5</f>
        <v/>
      </c>
      <c r="P559" s="12">
        <f>N559-O559</f>
        <v/>
      </c>
      <c r="Q559" s="13">
        <f>EXP(O559)*Smearing_Factor</f>
        <v/>
      </c>
    </row>
    <row r="560">
      <c r="A560" t="n">
        <v>559</v>
      </c>
      <c r="B560" t="inlineStr">
        <is>
          <t>Arts and humanities</t>
        </is>
      </c>
      <c r="C560" s="9" t="n">
        <v>3.44</v>
      </c>
      <c r="D560" t="n">
        <v>3</v>
      </c>
      <c r="E560" t="n">
        <v>0</v>
      </c>
      <c r="F560" t="n">
        <v>1</v>
      </c>
      <c r="G560" s="10" t="n">
        <v>1830</v>
      </c>
      <c r="H560" t="n">
        <v>1</v>
      </c>
      <c r="I560" s="11">
        <f>C560-CGPA_Mean</f>
        <v/>
      </c>
      <c r="J560">
        <f>D560</f>
        <v/>
      </c>
      <c r="K560">
        <f>E560</f>
        <v/>
      </c>
      <c r="L560">
        <f>F560</f>
        <v/>
      </c>
      <c r="M560" s="11">
        <f>I560*K560</f>
        <v/>
      </c>
      <c r="N560" s="12">
        <f>LN(G560)</f>
        <v/>
      </c>
      <c r="O560" s="12">
        <f>H560*Beta_0+I560*Beta_1+J560*Beta_2+K560*Beta_3+L560*Beta_4+M560*Beta_5</f>
        <v/>
      </c>
      <c r="P560" s="12">
        <f>N560-O560</f>
        <v/>
      </c>
      <c r="Q560" s="13">
        <f>EXP(O560)*Smearing_Factor</f>
        <v/>
      </c>
    </row>
    <row r="561">
      <c r="A561" t="n">
        <v>560</v>
      </c>
      <c r="B561" t="inlineStr">
        <is>
          <t>Engineering, manufacturing and construction</t>
        </is>
      </c>
      <c r="C561" s="9" t="n">
        <v>3.25</v>
      </c>
      <c r="D561" t="n">
        <v>6</v>
      </c>
      <c r="E561" t="n">
        <v>1</v>
      </c>
      <c r="F561" t="n">
        <v>0</v>
      </c>
      <c r="G561" s="10" t="n">
        <v>2250</v>
      </c>
      <c r="H561" t="n">
        <v>1</v>
      </c>
      <c r="I561" s="11">
        <f>C561-CGPA_Mean</f>
        <v/>
      </c>
      <c r="J561">
        <f>D561</f>
        <v/>
      </c>
      <c r="K561">
        <f>E561</f>
        <v/>
      </c>
      <c r="L561">
        <f>F561</f>
        <v/>
      </c>
      <c r="M561" s="11">
        <f>I561*K561</f>
        <v/>
      </c>
      <c r="N561" s="12">
        <f>LN(G561)</f>
        <v/>
      </c>
      <c r="O561" s="12">
        <f>H561*Beta_0+I561*Beta_1+J561*Beta_2+K561*Beta_3+L561*Beta_4+M561*Beta_5</f>
        <v/>
      </c>
      <c r="P561" s="12">
        <f>N561-O561</f>
        <v/>
      </c>
      <c r="Q561" s="13">
        <f>EXP(O561)*Smearing_Factor</f>
        <v/>
      </c>
    </row>
    <row r="562">
      <c r="A562" t="n">
        <v>561</v>
      </c>
      <c r="B562" t="inlineStr">
        <is>
          <t>Social sciences, journalism and information</t>
        </is>
      </c>
      <c r="C562" s="9" t="n">
        <v>3.22</v>
      </c>
      <c r="D562" t="n">
        <v>3</v>
      </c>
      <c r="E562" t="n">
        <v>0</v>
      </c>
      <c r="F562" t="n">
        <v>1</v>
      </c>
      <c r="G562" s="10" t="n">
        <v>2110</v>
      </c>
      <c r="H562" t="n">
        <v>1</v>
      </c>
      <c r="I562" s="11">
        <f>C562-CGPA_Mean</f>
        <v/>
      </c>
      <c r="J562">
        <f>D562</f>
        <v/>
      </c>
      <c r="K562">
        <f>E562</f>
        <v/>
      </c>
      <c r="L562">
        <f>F562</f>
        <v/>
      </c>
      <c r="M562" s="11">
        <f>I562*K562</f>
        <v/>
      </c>
      <c r="N562" s="12">
        <f>LN(G562)</f>
        <v/>
      </c>
      <c r="O562" s="12">
        <f>H562*Beta_0+I562*Beta_1+J562*Beta_2+K562*Beta_3+L562*Beta_4+M562*Beta_5</f>
        <v/>
      </c>
      <c r="P562" s="12">
        <f>N562-O562</f>
        <v/>
      </c>
      <c r="Q562" s="13">
        <f>EXP(O562)*Smearing_Factor</f>
        <v/>
      </c>
    </row>
    <row r="563">
      <c r="A563" t="n">
        <v>562</v>
      </c>
      <c r="B563" t="inlineStr">
        <is>
          <t>Social sciences, journalism and information</t>
        </is>
      </c>
      <c r="C563" s="9" t="n">
        <v>3.77</v>
      </c>
      <c r="D563" t="n">
        <v>3</v>
      </c>
      <c r="E563" t="n">
        <v>0</v>
      </c>
      <c r="F563" t="n">
        <v>1</v>
      </c>
      <c r="G563" s="10" t="n">
        <v>1600</v>
      </c>
      <c r="H563" t="n">
        <v>1</v>
      </c>
      <c r="I563" s="11">
        <f>C563-CGPA_Mean</f>
        <v/>
      </c>
      <c r="J563">
        <f>D563</f>
        <v/>
      </c>
      <c r="K563">
        <f>E563</f>
        <v/>
      </c>
      <c r="L563">
        <f>F563</f>
        <v/>
      </c>
      <c r="M563" s="11">
        <f>I563*K563</f>
        <v/>
      </c>
      <c r="N563" s="12">
        <f>LN(G563)</f>
        <v/>
      </c>
      <c r="O563" s="12">
        <f>H563*Beta_0+I563*Beta_1+J563*Beta_2+K563*Beta_3+L563*Beta_4+M563*Beta_5</f>
        <v/>
      </c>
      <c r="P563" s="12">
        <f>N563-O563</f>
        <v/>
      </c>
      <c r="Q563" s="13">
        <f>EXP(O563)*Smearing_Factor</f>
        <v/>
      </c>
    </row>
    <row r="564">
      <c r="A564" t="n">
        <v>563</v>
      </c>
      <c r="B564" t="inlineStr">
        <is>
          <t>Education</t>
        </is>
      </c>
      <c r="C564" s="9" t="n">
        <v>3.28</v>
      </c>
      <c r="D564" t="n">
        <v>6</v>
      </c>
      <c r="E564" t="n">
        <v>0</v>
      </c>
      <c r="F564" t="n">
        <v>0</v>
      </c>
      <c r="G564" s="10" t="n">
        <v>1910</v>
      </c>
      <c r="H564" t="n">
        <v>1</v>
      </c>
      <c r="I564" s="11">
        <f>C564-CGPA_Mean</f>
        <v/>
      </c>
      <c r="J564">
        <f>D564</f>
        <v/>
      </c>
      <c r="K564">
        <f>E564</f>
        <v/>
      </c>
      <c r="L564">
        <f>F564</f>
        <v/>
      </c>
      <c r="M564" s="11">
        <f>I564*K564</f>
        <v/>
      </c>
      <c r="N564" s="12">
        <f>LN(G564)</f>
        <v/>
      </c>
      <c r="O564" s="12">
        <f>H564*Beta_0+I564*Beta_1+J564*Beta_2+K564*Beta_3+L564*Beta_4+M564*Beta_5</f>
        <v/>
      </c>
      <c r="P564" s="12">
        <f>N564-O564</f>
        <v/>
      </c>
      <c r="Q564" s="13">
        <f>EXP(O564)*Smearing_Factor</f>
        <v/>
      </c>
    </row>
    <row r="565">
      <c r="A565" t="n">
        <v>564</v>
      </c>
      <c r="B565" t="inlineStr">
        <is>
          <t>Services</t>
        </is>
      </c>
      <c r="C565" s="9" t="n">
        <v>2.99</v>
      </c>
      <c r="D565" t="n">
        <v>3</v>
      </c>
      <c r="E565" t="n">
        <v>0</v>
      </c>
      <c r="F565" t="n">
        <v>0</v>
      </c>
      <c r="G565" s="10" t="n">
        <v>1390</v>
      </c>
      <c r="H565" t="n">
        <v>1</v>
      </c>
      <c r="I565" s="11">
        <f>C565-CGPA_Mean</f>
        <v/>
      </c>
      <c r="J565">
        <f>D565</f>
        <v/>
      </c>
      <c r="K565">
        <f>E565</f>
        <v/>
      </c>
      <c r="L565">
        <f>F565</f>
        <v/>
      </c>
      <c r="M565" s="11">
        <f>I565*K565</f>
        <v/>
      </c>
      <c r="N565" s="12">
        <f>LN(G565)</f>
        <v/>
      </c>
      <c r="O565" s="12">
        <f>H565*Beta_0+I565*Beta_1+J565*Beta_2+K565*Beta_3+L565*Beta_4+M565*Beta_5</f>
        <v/>
      </c>
      <c r="P565" s="12">
        <f>N565-O565</f>
        <v/>
      </c>
      <c r="Q565" s="13">
        <f>EXP(O565)*Smearing_Factor</f>
        <v/>
      </c>
    </row>
    <row r="566">
      <c r="A566" t="n">
        <v>565</v>
      </c>
      <c r="B566" t="inlineStr">
        <is>
          <t>Engineering, manufacturing and construction</t>
        </is>
      </c>
      <c r="C566" s="9" t="n">
        <v>3.29</v>
      </c>
      <c r="D566" t="n">
        <v>6</v>
      </c>
      <c r="E566" t="n">
        <v>1</v>
      </c>
      <c r="F566" t="n">
        <v>0</v>
      </c>
      <c r="G566" s="10" t="n">
        <v>2950</v>
      </c>
      <c r="H566" t="n">
        <v>1</v>
      </c>
      <c r="I566" s="11">
        <f>C566-CGPA_Mean</f>
        <v/>
      </c>
      <c r="J566">
        <f>D566</f>
        <v/>
      </c>
      <c r="K566">
        <f>E566</f>
        <v/>
      </c>
      <c r="L566">
        <f>F566</f>
        <v/>
      </c>
      <c r="M566" s="11">
        <f>I566*K566</f>
        <v/>
      </c>
      <c r="N566" s="12">
        <f>LN(G566)</f>
        <v/>
      </c>
      <c r="O566" s="12">
        <f>H566*Beta_0+I566*Beta_1+J566*Beta_2+K566*Beta_3+L566*Beta_4+M566*Beta_5</f>
        <v/>
      </c>
      <c r="P566" s="12">
        <f>N566-O566</f>
        <v/>
      </c>
      <c r="Q566" s="13">
        <f>EXP(O566)*Smearing_Factor</f>
        <v/>
      </c>
    </row>
    <row r="567">
      <c r="A567" t="n">
        <v>566</v>
      </c>
      <c r="B567" t="inlineStr">
        <is>
          <t>Business, administration and law</t>
        </is>
      </c>
      <c r="C567" s="9" t="n">
        <v>3.1</v>
      </c>
      <c r="D567" t="n">
        <v>6</v>
      </c>
      <c r="E567" t="n">
        <v>0</v>
      </c>
      <c r="F567" t="n">
        <v>1</v>
      </c>
      <c r="G567" s="10" t="n">
        <v>3890</v>
      </c>
      <c r="H567" t="n">
        <v>1</v>
      </c>
      <c r="I567" s="11">
        <f>C567-CGPA_Mean</f>
        <v/>
      </c>
      <c r="J567">
        <f>D567</f>
        <v/>
      </c>
      <c r="K567">
        <f>E567</f>
        <v/>
      </c>
      <c r="L567">
        <f>F567</f>
        <v/>
      </c>
      <c r="M567" s="11">
        <f>I567*K567</f>
        <v/>
      </c>
      <c r="N567" s="12">
        <f>LN(G567)</f>
        <v/>
      </c>
      <c r="O567" s="12">
        <f>H567*Beta_0+I567*Beta_1+J567*Beta_2+K567*Beta_3+L567*Beta_4+M567*Beta_5</f>
        <v/>
      </c>
      <c r="P567" s="12">
        <f>N567-O567</f>
        <v/>
      </c>
      <c r="Q567" s="13">
        <f>EXP(O567)*Smearing_Factor</f>
        <v/>
      </c>
    </row>
    <row r="568">
      <c r="A568" t="n">
        <v>567</v>
      </c>
      <c r="B568" t="inlineStr">
        <is>
          <t>Business, administration and law</t>
        </is>
      </c>
      <c r="C568" s="9" t="n">
        <v>3.62</v>
      </c>
      <c r="D568" t="n">
        <v>6</v>
      </c>
      <c r="E568" t="n">
        <v>0</v>
      </c>
      <c r="F568" t="n">
        <v>0</v>
      </c>
      <c r="G568" s="10" t="n">
        <v>1890</v>
      </c>
      <c r="H568" t="n">
        <v>1</v>
      </c>
      <c r="I568" s="11">
        <f>C568-CGPA_Mean</f>
        <v/>
      </c>
      <c r="J568">
        <f>D568</f>
        <v/>
      </c>
      <c r="K568">
        <f>E568</f>
        <v/>
      </c>
      <c r="L568">
        <f>F568</f>
        <v/>
      </c>
      <c r="M568" s="11">
        <f>I568*K568</f>
        <v/>
      </c>
      <c r="N568" s="12">
        <f>LN(G568)</f>
        <v/>
      </c>
      <c r="O568" s="12">
        <f>H568*Beta_0+I568*Beta_1+J568*Beta_2+K568*Beta_3+L568*Beta_4+M568*Beta_5</f>
        <v/>
      </c>
      <c r="P568" s="12">
        <f>N568-O568</f>
        <v/>
      </c>
      <c r="Q568" s="13">
        <f>EXP(O568)*Smearing_Factor</f>
        <v/>
      </c>
    </row>
    <row r="569">
      <c r="A569" t="n">
        <v>568</v>
      </c>
      <c r="B569" t="inlineStr">
        <is>
          <t>Engineering, manufacturing and construction</t>
        </is>
      </c>
      <c r="C569" s="9" t="n">
        <v>3.1</v>
      </c>
      <c r="D569" t="n">
        <v>3</v>
      </c>
      <c r="E569" t="n">
        <v>1</v>
      </c>
      <c r="F569" t="n">
        <v>0</v>
      </c>
      <c r="G569" s="10" t="n">
        <v>2480</v>
      </c>
      <c r="H569" t="n">
        <v>1</v>
      </c>
      <c r="I569" s="11">
        <f>C569-CGPA_Mean</f>
        <v/>
      </c>
      <c r="J569">
        <f>D569</f>
        <v/>
      </c>
      <c r="K569">
        <f>E569</f>
        <v/>
      </c>
      <c r="L569">
        <f>F569</f>
        <v/>
      </c>
      <c r="M569" s="11">
        <f>I569*K569</f>
        <v/>
      </c>
      <c r="N569" s="12">
        <f>LN(G569)</f>
        <v/>
      </c>
      <c r="O569" s="12">
        <f>H569*Beta_0+I569*Beta_1+J569*Beta_2+K569*Beta_3+L569*Beta_4+M569*Beta_5</f>
        <v/>
      </c>
      <c r="P569" s="12">
        <f>N569-O569</f>
        <v/>
      </c>
      <c r="Q569" s="13">
        <f>EXP(O569)*Smearing_Factor</f>
        <v/>
      </c>
    </row>
    <row r="570">
      <c r="A570" t="n">
        <v>569</v>
      </c>
      <c r="B570" t="inlineStr">
        <is>
          <t>Engineering, manufacturing and construction</t>
        </is>
      </c>
      <c r="C570" s="9" t="n">
        <v>3.03</v>
      </c>
      <c r="D570" t="n">
        <v>3</v>
      </c>
      <c r="E570" t="n">
        <v>1</v>
      </c>
      <c r="F570" t="n">
        <v>0</v>
      </c>
      <c r="G570" s="10" t="n">
        <v>1000</v>
      </c>
      <c r="H570" t="n">
        <v>1</v>
      </c>
      <c r="I570" s="11">
        <f>C570-CGPA_Mean</f>
        <v/>
      </c>
      <c r="J570">
        <f>D570</f>
        <v/>
      </c>
      <c r="K570">
        <f>E570</f>
        <v/>
      </c>
      <c r="L570">
        <f>F570</f>
        <v/>
      </c>
      <c r="M570" s="11">
        <f>I570*K570</f>
        <v/>
      </c>
      <c r="N570" s="12">
        <f>LN(G570)</f>
        <v/>
      </c>
      <c r="O570" s="12">
        <f>H570*Beta_0+I570*Beta_1+J570*Beta_2+K570*Beta_3+L570*Beta_4+M570*Beta_5</f>
        <v/>
      </c>
      <c r="P570" s="12">
        <f>N570-O570</f>
        <v/>
      </c>
      <c r="Q570" s="13">
        <f>EXP(O570)*Smearing_Factor</f>
        <v/>
      </c>
    </row>
    <row r="571">
      <c r="A571" t="n">
        <v>570</v>
      </c>
      <c r="B571" t="inlineStr">
        <is>
          <t>Health and welfare</t>
        </is>
      </c>
      <c r="C571" s="9" t="n">
        <v>2.82</v>
      </c>
      <c r="D571" t="n">
        <v>3</v>
      </c>
      <c r="E571" t="n">
        <v>0</v>
      </c>
      <c r="F571" t="n">
        <v>1</v>
      </c>
      <c r="G571" s="10" t="n">
        <v>3850</v>
      </c>
      <c r="H571" t="n">
        <v>1</v>
      </c>
      <c r="I571" s="11">
        <f>C571-CGPA_Mean</f>
        <v/>
      </c>
      <c r="J571">
        <f>D571</f>
        <v/>
      </c>
      <c r="K571">
        <f>E571</f>
        <v/>
      </c>
      <c r="L571">
        <f>F571</f>
        <v/>
      </c>
      <c r="M571" s="11">
        <f>I571*K571</f>
        <v/>
      </c>
      <c r="N571" s="12">
        <f>LN(G571)</f>
        <v/>
      </c>
      <c r="O571" s="12">
        <f>H571*Beta_0+I571*Beta_1+J571*Beta_2+K571*Beta_3+L571*Beta_4+M571*Beta_5</f>
        <v/>
      </c>
      <c r="P571" s="12">
        <f>N571-O571</f>
        <v/>
      </c>
      <c r="Q571" s="13">
        <f>EXP(O571)*Smearing_Factor</f>
        <v/>
      </c>
    </row>
    <row r="572">
      <c r="A572" t="n">
        <v>571</v>
      </c>
      <c r="B572" t="inlineStr">
        <is>
          <t>Engineering, manufacturing and construction</t>
        </is>
      </c>
      <c r="C572" s="9" t="n">
        <v>2.81</v>
      </c>
      <c r="D572" t="n">
        <v>6</v>
      </c>
      <c r="E572" t="n">
        <v>1</v>
      </c>
      <c r="F572" t="n">
        <v>1</v>
      </c>
      <c r="G572" s="10" t="n">
        <v>3620</v>
      </c>
      <c r="H572" t="n">
        <v>1</v>
      </c>
      <c r="I572" s="11">
        <f>C572-CGPA_Mean</f>
        <v/>
      </c>
      <c r="J572">
        <f>D572</f>
        <v/>
      </c>
      <c r="K572">
        <f>E572</f>
        <v/>
      </c>
      <c r="L572">
        <f>F572</f>
        <v/>
      </c>
      <c r="M572" s="11">
        <f>I572*K572</f>
        <v/>
      </c>
      <c r="N572" s="12">
        <f>LN(G572)</f>
        <v/>
      </c>
      <c r="O572" s="12">
        <f>H572*Beta_0+I572*Beta_1+J572*Beta_2+K572*Beta_3+L572*Beta_4+M572*Beta_5</f>
        <v/>
      </c>
      <c r="P572" s="12">
        <f>N572-O572</f>
        <v/>
      </c>
      <c r="Q572" s="13">
        <f>EXP(O572)*Smearing_Factor</f>
        <v/>
      </c>
    </row>
    <row r="573">
      <c r="A573" t="n">
        <v>572</v>
      </c>
      <c r="B573" t="inlineStr">
        <is>
          <t>Information and communication technologies</t>
        </is>
      </c>
      <c r="C573" s="9" t="n">
        <v>2.6</v>
      </c>
      <c r="D573" t="n">
        <v>6</v>
      </c>
      <c r="E573" t="n">
        <v>1</v>
      </c>
      <c r="F573" t="n">
        <v>1</v>
      </c>
      <c r="G573" s="10" t="n">
        <v>3400</v>
      </c>
      <c r="H573" t="n">
        <v>1</v>
      </c>
      <c r="I573" s="11">
        <f>C573-CGPA_Mean</f>
        <v/>
      </c>
      <c r="J573">
        <f>D573</f>
        <v/>
      </c>
      <c r="K573">
        <f>E573</f>
        <v/>
      </c>
      <c r="L573">
        <f>F573</f>
        <v/>
      </c>
      <c r="M573" s="11">
        <f>I573*K573</f>
        <v/>
      </c>
      <c r="N573" s="12">
        <f>LN(G573)</f>
        <v/>
      </c>
      <c r="O573" s="12">
        <f>H573*Beta_0+I573*Beta_1+J573*Beta_2+K573*Beta_3+L573*Beta_4+M573*Beta_5</f>
        <v/>
      </c>
      <c r="P573" s="12">
        <f>N573-O573</f>
        <v/>
      </c>
      <c r="Q573" s="13">
        <f>EXP(O573)*Smearing_Factor</f>
        <v/>
      </c>
    </row>
    <row r="574">
      <c r="A574" t="n">
        <v>573</v>
      </c>
      <c r="B574" t="inlineStr">
        <is>
          <t>Arts and humanities</t>
        </is>
      </c>
      <c r="C574" s="9" t="n">
        <v>3.24</v>
      </c>
      <c r="D574" t="n">
        <v>3</v>
      </c>
      <c r="E574" t="n">
        <v>0</v>
      </c>
      <c r="F574" t="n">
        <v>1</v>
      </c>
      <c r="G574" s="10" t="n">
        <v>1420</v>
      </c>
      <c r="H574" t="n">
        <v>1</v>
      </c>
      <c r="I574" s="11">
        <f>C574-CGPA_Mean</f>
        <v/>
      </c>
      <c r="J574">
        <f>D574</f>
        <v/>
      </c>
      <c r="K574">
        <f>E574</f>
        <v/>
      </c>
      <c r="L574">
        <f>F574</f>
        <v/>
      </c>
      <c r="M574" s="11">
        <f>I574*K574</f>
        <v/>
      </c>
      <c r="N574" s="12">
        <f>LN(G574)</f>
        <v/>
      </c>
      <c r="O574" s="12">
        <f>H574*Beta_0+I574*Beta_1+J574*Beta_2+K574*Beta_3+L574*Beta_4+M574*Beta_5</f>
        <v/>
      </c>
      <c r="P574" s="12">
        <f>N574-O574</f>
        <v/>
      </c>
      <c r="Q574" s="13">
        <f>EXP(O574)*Smearing_Factor</f>
        <v/>
      </c>
    </row>
    <row r="575">
      <c r="A575" t="n">
        <v>574</v>
      </c>
      <c r="B575" t="inlineStr">
        <is>
          <t>Business, administration and law</t>
        </is>
      </c>
      <c r="C575" s="9" t="n">
        <v>3.43</v>
      </c>
      <c r="D575" t="n">
        <v>6</v>
      </c>
      <c r="E575" t="n">
        <v>0</v>
      </c>
      <c r="F575" t="n">
        <v>1</v>
      </c>
      <c r="G575" s="10" t="n">
        <v>2540</v>
      </c>
      <c r="H575" t="n">
        <v>1</v>
      </c>
      <c r="I575" s="11">
        <f>C575-CGPA_Mean</f>
        <v/>
      </c>
      <c r="J575">
        <f>D575</f>
        <v/>
      </c>
      <c r="K575">
        <f>E575</f>
        <v/>
      </c>
      <c r="L575">
        <f>F575</f>
        <v/>
      </c>
      <c r="M575" s="11">
        <f>I575*K575</f>
        <v/>
      </c>
      <c r="N575" s="12">
        <f>LN(G575)</f>
        <v/>
      </c>
      <c r="O575" s="12">
        <f>H575*Beta_0+I575*Beta_1+J575*Beta_2+K575*Beta_3+L575*Beta_4+M575*Beta_5</f>
        <v/>
      </c>
      <c r="P575" s="12">
        <f>N575-O575</f>
        <v/>
      </c>
      <c r="Q575" s="13">
        <f>EXP(O575)*Smearing_Factor</f>
        <v/>
      </c>
    </row>
    <row r="576">
      <c r="A576" t="n">
        <v>575</v>
      </c>
      <c r="B576" t="inlineStr">
        <is>
          <t>Health and welfare</t>
        </is>
      </c>
      <c r="C576" s="9" t="n">
        <v>3.78</v>
      </c>
      <c r="D576" t="n">
        <v>6</v>
      </c>
      <c r="E576" t="n">
        <v>0</v>
      </c>
      <c r="F576" t="n">
        <v>1</v>
      </c>
      <c r="G576" s="10" t="n">
        <v>2050</v>
      </c>
      <c r="H576" t="n">
        <v>1</v>
      </c>
      <c r="I576" s="11">
        <f>C576-CGPA_Mean</f>
        <v/>
      </c>
      <c r="J576">
        <f>D576</f>
        <v/>
      </c>
      <c r="K576">
        <f>E576</f>
        <v/>
      </c>
      <c r="L576">
        <f>F576</f>
        <v/>
      </c>
      <c r="M576" s="11">
        <f>I576*K576</f>
        <v/>
      </c>
      <c r="N576" s="12">
        <f>LN(G576)</f>
        <v/>
      </c>
      <c r="O576" s="12">
        <f>H576*Beta_0+I576*Beta_1+J576*Beta_2+K576*Beta_3+L576*Beta_4+M576*Beta_5</f>
        <v/>
      </c>
      <c r="P576" s="12">
        <f>N576-O576</f>
        <v/>
      </c>
      <c r="Q576" s="13">
        <f>EXP(O576)*Smearing_Factor</f>
        <v/>
      </c>
    </row>
    <row r="577">
      <c r="A577" t="n">
        <v>576</v>
      </c>
      <c r="B577" t="inlineStr">
        <is>
          <t>Business, administration and law</t>
        </is>
      </c>
      <c r="C577" s="9" t="n">
        <v>3.26</v>
      </c>
      <c r="D577" t="n">
        <v>9</v>
      </c>
      <c r="E577" t="n">
        <v>0</v>
      </c>
      <c r="F577" t="n">
        <v>0</v>
      </c>
      <c r="G577" s="10" t="n">
        <v>1750</v>
      </c>
      <c r="H577" t="n">
        <v>1</v>
      </c>
      <c r="I577" s="11">
        <f>C577-CGPA_Mean</f>
        <v/>
      </c>
      <c r="J577">
        <f>D577</f>
        <v/>
      </c>
      <c r="K577">
        <f>E577</f>
        <v/>
      </c>
      <c r="L577">
        <f>F577</f>
        <v/>
      </c>
      <c r="M577" s="11">
        <f>I577*K577</f>
        <v/>
      </c>
      <c r="N577" s="12">
        <f>LN(G577)</f>
        <v/>
      </c>
      <c r="O577" s="12">
        <f>H577*Beta_0+I577*Beta_1+J577*Beta_2+K577*Beta_3+L577*Beta_4+M577*Beta_5</f>
        <v/>
      </c>
      <c r="P577" s="12">
        <f>N577-O577</f>
        <v/>
      </c>
      <c r="Q577" s="13">
        <f>EXP(O577)*Smearing_Factor</f>
        <v/>
      </c>
    </row>
    <row r="578">
      <c r="A578" t="n">
        <v>577</v>
      </c>
      <c r="B578" t="inlineStr">
        <is>
          <t>Natural sciences, mathematics and statistics</t>
        </is>
      </c>
      <c r="C578" s="9" t="n">
        <v>2.9</v>
      </c>
      <c r="D578" t="n">
        <v>6</v>
      </c>
      <c r="E578" t="n">
        <v>1</v>
      </c>
      <c r="F578" t="n">
        <v>0</v>
      </c>
      <c r="G578" s="10" t="n">
        <v>750</v>
      </c>
      <c r="H578" t="n">
        <v>1</v>
      </c>
      <c r="I578" s="11">
        <f>C578-CGPA_Mean</f>
        <v/>
      </c>
      <c r="J578">
        <f>D578</f>
        <v/>
      </c>
      <c r="K578">
        <f>E578</f>
        <v/>
      </c>
      <c r="L578">
        <f>F578</f>
        <v/>
      </c>
      <c r="M578" s="11">
        <f>I578*K578</f>
        <v/>
      </c>
      <c r="N578" s="12">
        <f>LN(G578)</f>
        <v/>
      </c>
      <c r="O578" s="12">
        <f>H578*Beta_0+I578*Beta_1+J578*Beta_2+K578*Beta_3+L578*Beta_4+M578*Beta_5</f>
        <v/>
      </c>
      <c r="P578" s="12">
        <f>N578-O578</f>
        <v/>
      </c>
      <c r="Q578" s="13">
        <f>EXP(O578)*Smearing_Factor</f>
        <v/>
      </c>
    </row>
    <row r="579">
      <c r="A579" t="n">
        <v>578</v>
      </c>
      <c r="B579" t="inlineStr">
        <is>
          <t>Business, administration and law</t>
        </is>
      </c>
      <c r="C579" s="9" t="n">
        <v>2.95</v>
      </c>
      <c r="D579" t="n">
        <v>6</v>
      </c>
      <c r="E579" t="n">
        <v>0</v>
      </c>
      <c r="F579" t="n">
        <v>1</v>
      </c>
      <c r="G579" s="10" t="n">
        <v>2020</v>
      </c>
      <c r="H579" t="n">
        <v>1</v>
      </c>
      <c r="I579" s="11">
        <f>C579-CGPA_Mean</f>
        <v/>
      </c>
      <c r="J579">
        <f>D579</f>
        <v/>
      </c>
      <c r="K579">
        <f>E579</f>
        <v/>
      </c>
      <c r="L579">
        <f>F579</f>
        <v/>
      </c>
      <c r="M579" s="11">
        <f>I579*K579</f>
        <v/>
      </c>
      <c r="N579" s="12">
        <f>LN(G579)</f>
        <v/>
      </c>
      <c r="O579" s="12">
        <f>H579*Beta_0+I579*Beta_1+J579*Beta_2+K579*Beta_3+L579*Beta_4+M579*Beta_5</f>
        <v/>
      </c>
      <c r="P579" s="12">
        <f>N579-O579</f>
        <v/>
      </c>
      <c r="Q579" s="13">
        <f>EXP(O579)*Smearing_Factor</f>
        <v/>
      </c>
    </row>
    <row r="580">
      <c r="A580" t="n">
        <v>579</v>
      </c>
      <c r="B580" t="inlineStr">
        <is>
          <t>Natural sciences, mathematics and statistics</t>
        </is>
      </c>
      <c r="C580" s="9" t="n">
        <v>3.31</v>
      </c>
      <c r="D580" t="n">
        <v>6</v>
      </c>
      <c r="E580" t="n">
        <v>1</v>
      </c>
      <c r="F580" t="n">
        <v>1</v>
      </c>
      <c r="G580" s="10" t="n">
        <v>2120</v>
      </c>
      <c r="H580" t="n">
        <v>1</v>
      </c>
      <c r="I580" s="11">
        <f>C580-CGPA_Mean</f>
        <v/>
      </c>
      <c r="J580">
        <f>D580</f>
        <v/>
      </c>
      <c r="K580">
        <f>E580</f>
        <v/>
      </c>
      <c r="L580">
        <f>F580</f>
        <v/>
      </c>
      <c r="M580" s="11">
        <f>I580*K580</f>
        <v/>
      </c>
      <c r="N580" s="12">
        <f>LN(G580)</f>
        <v/>
      </c>
      <c r="O580" s="12">
        <f>H580*Beta_0+I580*Beta_1+J580*Beta_2+K580*Beta_3+L580*Beta_4+M580*Beta_5</f>
        <v/>
      </c>
      <c r="P580" s="12">
        <f>N580-O580</f>
        <v/>
      </c>
      <c r="Q580" s="13">
        <f>EXP(O580)*Smearing_Factor</f>
        <v/>
      </c>
    </row>
    <row r="581">
      <c r="A581" t="n">
        <v>580</v>
      </c>
      <c r="B581" t="inlineStr">
        <is>
          <t>Engineering, manufacturing and construction</t>
        </is>
      </c>
      <c r="C581" s="9" t="n">
        <v>3.07</v>
      </c>
      <c r="D581" t="n">
        <v>9</v>
      </c>
      <c r="E581" t="n">
        <v>1</v>
      </c>
      <c r="F581" t="n">
        <v>0</v>
      </c>
      <c r="G581" s="10" t="n">
        <v>3340</v>
      </c>
      <c r="H581" t="n">
        <v>1</v>
      </c>
      <c r="I581" s="11">
        <f>C581-CGPA_Mean</f>
        <v/>
      </c>
      <c r="J581">
        <f>D581</f>
        <v/>
      </c>
      <c r="K581">
        <f>E581</f>
        <v/>
      </c>
      <c r="L581">
        <f>F581</f>
        <v/>
      </c>
      <c r="M581" s="11">
        <f>I581*K581</f>
        <v/>
      </c>
      <c r="N581" s="12">
        <f>LN(G581)</f>
        <v/>
      </c>
      <c r="O581" s="12">
        <f>H581*Beta_0+I581*Beta_1+J581*Beta_2+K581*Beta_3+L581*Beta_4+M581*Beta_5</f>
        <v/>
      </c>
      <c r="P581" s="12">
        <f>N581-O581</f>
        <v/>
      </c>
      <c r="Q581" s="13">
        <f>EXP(O581)*Smearing_Factor</f>
        <v/>
      </c>
    </row>
    <row r="582">
      <c r="A582" t="n">
        <v>581</v>
      </c>
      <c r="B582" t="inlineStr">
        <is>
          <t>Engineering, manufacturing and construction</t>
        </is>
      </c>
      <c r="C582" s="9" t="n">
        <v>3.12</v>
      </c>
      <c r="D582" t="n">
        <v>6</v>
      </c>
      <c r="E582" t="n">
        <v>1</v>
      </c>
      <c r="F582" t="n">
        <v>1</v>
      </c>
      <c r="G582" s="10" t="n">
        <v>2130</v>
      </c>
      <c r="H582" t="n">
        <v>1</v>
      </c>
      <c r="I582" s="11">
        <f>C582-CGPA_Mean</f>
        <v/>
      </c>
      <c r="J582">
        <f>D582</f>
        <v/>
      </c>
      <c r="K582">
        <f>E582</f>
        <v/>
      </c>
      <c r="L582">
        <f>F582</f>
        <v/>
      </c>
      <c r="M582" s="11">
        <f>I582*K582</f>
        <v/>
      </c>
      <c r="N582" s="12">
        <f>LN(G582)</f>
        <v/>
      </c>
      <c r="O582" s="12">
        <f>H582*Beta_0+I582*Beta_1+J582*Beta_2+K582*Beta_3+L582*Beta_4+M582*Beta_5</f>
        <v/>
      </c>
      <c r="P582" s="12">
        <f>N582-O582</f>
        <v/>
      </c>
      <c r="Q582" s="13">
        <f>EXP(O582)*Smearing_Factor</f>
        <v/>
      </c>
    </row>
    <row r="583">
      <c r="A583" t="n">
        <v>582</v>
      </c>
      <c r="B583" t="inlineStr">
        <is>
          <t>Social sciences, journalism and information</t>
        </is>
      </c>
      <c r="C583" s="9" t="n">
        <v>3.41</v>
      </c>
      <c r="D583" t="n">
        <v>6</v>
      </c>
      <c r="E583" t="n">
        <v>0</v>
      </c>
      <c r="F583" t="n">
        <v>1</v>
      </c>
      <c r="G583" s="10" t="n">
        <v>1890</v>
      </c>
      <c r="H583" t="n">
        <v>1</v>
      </c>
      <c r="I583" s="11">
        <f>C583-CGPA_Mean</f>
        <v/>
      </c>
      <c r="J583">
        <f>D583</f>
        <v/>
      </c>
      <c r="K583">
        <f>E583</f>
        <v/>
      </c>
      <c r="L583">
        <f>F583</f>
        <v/>
      </c>
      <c r="M583" s="11">
        <f>I583*K583</f>
        <v/>
      </c>
      <c r="N583" s="12">
        <f>LN(G583)</f>
        <v/>
      </c>
      <c r="O583" s="12">
        <f>H583*Beta_0+I583*Beta_1+J583*Beta_2+K583*Beta_3+L583*Beta_4+M583*Beta_5</f>
        <v/>
      </c>
      <c r="P583" s="12">
        <f>N583-O583</f>
        <v/>
      </c>
      <c r="Q583" s="13">
        <f>EXP(O583)*Smearing_Factor</f>
        <v/>
      </c>
    </row>
    <row r="584">
      <c r="A584" t="n">
        <v>583</v>
      </c>
      <c r="B584" t="inlineStr">
        <is>
          <t>Arts and humanities</t>
        </is>
      </c>
      <c r="C584" s="9" t="n">
        <v>3.74</v>
      </c>
      <c r="D584" t="n">
        <v>9</v>
      </c>
      <c r="E584" t="n">
        <v>0</v>
      </c>
      <c r="F584" t="n">
        <v>0</v>
      </c>
      <c r="G584" s="10" t="n">
        <v>2080</v>
      </c>
      <c r="H584" t="n">
        <v>1</v>
      </c>
      <c r="I584" s="11">
        <f>C584-CGPA_Mean</f>
        <v/>
      </c>
      <c r="J584">
        <f>D584</f>
        <v/>
      </c>
      <c r="K584">
        <f>E584</f>
        <v/>
      </c>
      <c r="L584">
        <f>F584</f>
        <v/>
      </c>
      <c r="M584" s="11">
        <f>I584*K584</f>
        <v/>
      </c>
      <c r="N584" s="12">
        <f>LN(G584)</f>
        <v/>
      </c>
      <c r="O584" s="12">
        <f>H584*Beta_0+I584*Beta_1+J584*Beta_2+K584*Beta_3+L584*Beta_4+M584*Beta_5</f>
        <v/>
      </c>
      <c r="P584" s="12">
        <f>N584-O584</f>
        <v/>
      </c>
      <c r="Q584" s="13">
        <f>EXP(O584)*Smearing_Factor</f>
        <v/>
      </c>
    </row>
    <row r="585">
      <c r="A585" t="n">
        <v>584</v>
      </c>
      <c r="B585" t="inlineStr">
        <is>
          <t>Business, administration and law</t>
        </is>
      </c>
      <c r="C585" s="9" t="n">
        <v>2.45</v>
      </c>
      <c r="D585" t="n">
        <v>3</v>
      </c>
      <c r="E585" t="n">
        <v>0</v>
      </c>
      <c r="F585" t="n">
        <v>1</v>
      </c>
      <c r="G585" s="10" t="n">
        <v>1990</v>
      </c>
      <c r="H585" t="n">
        <v>1</v>
      </c>
      <c r="I585" s="11">
        <f>C585-CGPA_Mean</f>
        <v/>
      </c>
      <c r="J585">
        <f>D585</f>
        <v/>
      </c>
      <c r="K585">
        <f>E585</f>
        <v/>
      </c>
      <c r="L585">
        <f>F585</f>
        <v/>
      </c>
      <c r="M585" s="11">
        <f>I585*K585</f>
        <v/>
      </c>
      <c r="N585" s="12">
        <f>LN(G585)</f>
        <v/>
      </c>
      <c r="O585" s="12">
        <f>H585*Beta_0+I585*Beta_1+J585*Beta_2+K585*Beta_3+L585*Beta_4+M585*Beta_5</f>
        <v/>
      </c>
      <c r="P585" s="12">
        <f>N585-O585</f>
        <v/>
      </c>
      <c r="Q585" s="13">
        <f>EXP(O585)*Smearing_Factor</f>
        <v/>
      </c>
    </row>
    <row r="586">
      <c r="A586" t="n">
        <v>585</v>
      </c>
      <c r="B586" t="inlineStr">
        <is>
          <t>Arts and humanities</t>
        </is>
      </c>
      <c r="C586" s="9" t="n">
        <v>3.32</v>
      </c>
      <c r="D586" t="n">
        <v>6</v>
      </c>
      <c r="E586" t="n">
        <v>0</v>
      </c>
      <c r="F586" t="n">
        <v>1</v>
      </c>
      <c r="G586" s="10" t="n">
        <v>1520</v>
      </c>
      <c r="H586" t="n">
        <v>1</v>
      </c>
      <c r="I586" s="11">
        <f>C586-CGPA_Mean</f>
        <v/>
      </c>
      <c r="J586">
        <f>D586</f>
        <v/>
      </c>
      <c r="K586">
        <f>E586</f>
        <v/>
      </c>
      <c r="L586">
        <f>F586</f>
        <v/>
      </c>
      <c r="M586" s="11">
        <f>I586*K586</f>
        <v/>
      </c>
      <c r="N586" s="12">
        <f>LN(G586)</f>
        <v/>
      </c>
      <c r="O586" s="12">
        <f>H586*Beta_0+I586*Beta_1+J586*Beta_2+K586*Beta_3+L586*Beta_4+M586*Beta_5</f>
        <v/>
      </c>
      <c r="P586" s="12">
        <f>N586-O586</f>
        <v/>
      </c>
      <c r="Q586" s="13">
        <f>EXP(O586)*Smearing_Factor</f>
        <v/>
      </c>
    </row>
    <row r="587">
      <c r="A587" t="n">
        <v>586</v>
      </c>
      <c r="B587" t="inlineStr">
        <is>
          <t>Education</t>
        </is>
      </c>
      <c r="C587" s="9" t="n">
        <v>2.82</v>
      </c>
      <c r="D587" t="n">
        <v>6</v>
      </c>
      <c r="E587" t="n">
        <v>0</v>
      </c>
      <c r="F587" t="n">
        <v>1</v>
      </c>
      <c r="G587" s="10" t="n">
        <v>2950</v>
      </c>
      <c r="H587" t="n">
        <v>1</v>
      </c>
      <c r="I587" s="11">
        <f>C587-CGPA_Mean</f>
        <v/>
      </c>
      <c r="J587">
        <f>D587</f>
        <v/>
      </c>
      <c r="K587">
        <f>E587</f>
        <v/>
      </c>
      <c r="L587">
        <f>F587</f>
        <v/>
      </c>
      <c r="M587" s="11">
        <f>I587*K587</f>
        <v/>
      </c>
      <c r="N587" s="12">
        <f>LN(G587)</f>
        <v/>
      </c>
      <c r="O587" s="12">
        <f>H587*Beta_0+I587*Beta_1+J587*Beta_2+K587*Beta_3+L587*Beta_4+M587*Beta_5</f>
        <v/>
      </c>
      <c r="P587" s="12">
        <f>N587-O587</f>
        <v/>
      </c>
      <c r="Q587" s="13">
        <f>EXP(O587)*Smearing_Factor</f>
        <v/>
      </c>
    </row>
    <row r="588">
      <c r="A588" t="n">
        <v>587</v>
      </c>
      <c r="B588" t="inlineStr">
        <is>
          <t>Social sciences, journalism and information</t>
        </is>
      </c>
      <c r="C588" s="9" t="n">
        <v>3.02</v>
      </c>
      <c r="D588" t="n">
        <v>9</v>
      </c>
      <c r="E588" t="n">
        <v>0</v>
      </c>
      <c r="F588" t="n">
        <v>0</v>
      </c>
      <c r="G588" s="10" t="n">
        <v>2980</v>
      </c>
      <c r="H588" t="n">
        <v>1</v>
      </c>
      <c r="I588" s="11">
        <f>C588-CGPA_Mean</f>
        <v/>
      </c>
      <c r="J588">
        <f>D588</f>
        <v/>
      </c>
      <c r="K588">
        <f>E588</f>
        <v/>
      </c>
      <c r="L588">
        <f>F588</f>
        <v/>
      </c>
      <c r="M588" s="11">
        <f>I588*K588</f>
        <v/>
      </c>
      <c r="N588" s="12">
        <f>LN(G588)</f>
        <v/>
      </c>
      <c r="O588" s="12">
        <f>H588*Beta_0+I588*Beta_1+J588*Beta_2+K588*Beta_3+L588*Beta_4+M588*Beta_5</f>
        <v/>
      </c>
      <c r="P588" s="12">
        <f>N588-O588</f>
        <v/>
      </c>
      <c r="Q588" s="13">
        <f>EXP(O588)*Smearing_Factor</f>
        <v/>
      </c>
    </row>
    <row r="589">
      <c r="A589" t="n">
        <v>588</v>
      </c>
      <c r="B589" t="inlineStr">
        <is>
          <t>Business, administration and law</t>
        </is>
      </c>
      <c r="C589" s="9" t="n">
        <v>2.79</v>
      </c>
      <c r="D589" t="n">
        <v>6</v>
      </c>
      <c r="E589" t="n">
        <v>0</v>
      </c>
      <c r="F589" t="n">
        <v>1</v>
      </c>
      <c r="G589" s="10" t="n">
        <v>2060</v>
      </c>
      <c r="H589" t="n">
        <v>1</v>
      </c>
      <c r="I589" s="11">
        <f>C589-CGPA_Mean</f>
        <v/>
      </c>
      <c r="J589">
        <f>D589</f>
        <v/>
      </c>
      <c r="K589">
        <f>E589</f>
        <v/>
      </c>
      <c r="L589">
        <f>F589</f>
        <v/>
      </c>
      <c r="M589" s="11">
        <f>I589*K589</f>
        <v/>
      </c>
      <c r="N589" s="12">
        <f>LN(G589)</f>
        <v/>
      </c>
      <c r="O589" s="12">
        <f>H589*Beta_0+I589*Beta_1+J589*Beta_2+K589*Beta_3+L589*Beta_4+M589*Beta_5</f>
        <v/>
      </c>
      <c r="P589" s="12">
        <f>N589-O589</f>
        <v/>
      </c>
      <c r="Q589" s="13">
        <f>EXP(O589)*Smearing_Factor</f>
        <v/>
      </c>
    </row>
    <row r="590">
      <c r="A590" t="n">
        <v>589</v>
      </c>
      <c r="B590" t="inlineStr">
        <is>
          <t>Services</t>
        </is>
      </c>
      <c r="C590" s="9" t="n">
        <v>3.41</v>
      </c>
      <c r="D590" t="n">
        <v>6</v>
      </c>
      <c r="E590" t="n">
        <v>0</v>
      </c>
      <c r="F590" t="n">
        <v>0</v>
      </c>
      <c r="G590" s="10" t="n">
        <v>1540</v>
      </c>
      <c r="H590" t="n">
        <v>1</v>
      </c>
      <c r="I590" s="11">
        <f>C590-CGPA_Mean</f>
        <v/>
      </c>
      <c r="J590">
        <f>D590</f>
        <v/>
      </c>
      <c r="K590">
        <f>E590</f>
        <v/>
      </c>
      <c r="L590">
        <f>F590</f>
        <v/>
      </c>
      <c r="M590" s="11">
        <f>I590*K590</f>
        <v/>
      </c>
      <c r="N590" s="12">
        <f>LN(G590)</f>
        <v/>
      </c>
      <c r="O590" s="12">
        <f>H590*Beta_0+I590*Beta_1+J590*Beta_2+K590*Beta_3+L590*Beta_4+M590*Beta_5</f>
        <v/>
      </c>
      <c r="P590" s="12">
        <f>N590-O590</f>
        <v/>
      </c>
      <c r="Q590" s="13">
        <f>EXP(O590)*Smearing_Factor</f>
        <v/>
      </c>
    </row>
    <row r="591">
      <c r="A591" t="n">
        <v>590</v>
      </c>
      <c r="B591" t="inlineStr">
        <is>
          <t>Arts and humanities</t>
        </is>
      </c>
      <c r="C591" s="9" t="n">
        <v>3.53</v>
      </c>
      <c r="D591" t="n">
        <v>6</v>
      </c>
      <c r="E591" t="n">
        <v>0</v>
      </c>
      <c r="F591" t="n">
        <v>1</v>
      </c>
      <c r="G591" s="10" t="n">
        <v>1950</v>
      </c>
      <c r="H591" t="n">
        <v>1</v>
      </c>
      <c r="I591" s="11">
        <f>C591-CGPA_Mean</f>
        <v/>
      </c>
      <c r="J591">
        <f>D591</f>
        <v/>
      </c>
      <c r="K591">
        <f>E591</f>
        <v/>
      </c>
      <c r="L591">
        <f>F591</f>
        <v/>
      </c>
      <c r="M591" s="11">
        <f>I591*K591</f>
        <v/>
      </c>
      <c r="N591" s="12">
        <f>LN(G591)</f>
        <v/>
      </c>
      <c r="O591" s="12">
        <f>H591*Beta_0+I591*Beta_1+J591*Beta_2+K591*Beta_3+L591*Beta_4+M591*Beta_5</f>
        <v/>
      </c>
      <c r="P591" s="12">
        <f>N591-O591</f>
        <v/>
      </c>
      <c r="Q591" s="13">
        <f>EXP(O591)*Smearing_Factor</f>
        <v/>
      </c>
    </row>
    <row r="592">
      <c r="A592" t="n">
        <v>591</v>
      </c>
      <c r="B592" t="inlineStr">
        <is>
          <t>Arts and humanities</t>
        </is>
      </c>
      <c r="C592" s="9" t="n">
        <v>3.21</v>
      </c>
      <c r="D592" t="n">
        <v>3</v>
      </c>
      <c r="E592" t="n">
        <v>0</v>
      </c>
      <c r="F592" t="n">
        <v>0</v>
      </c>
      <c r="G592" s="10" t="n">
        <v>1740</v>
      </c>
      <c r="H592" t="n">
        <v>1</v>
      </c>
      <c r="I592" s="11">
        <f>C592-CGPA_Mean</f>
        <v/>
      </c>
      <c r="J592">
        <f>D592</f>
        <v/>
      </c>
      <c r="K592">
        <f>E592</f>
        <v/>
      </c>
      <c r="L592">
        <f>F592</f>
        <v/>
      </c>
      <c r="M592" s="11">
        <f>I592*K592</f>
        <v/>
      </c>
      <c r="N592" s="12">
        <f>LN(G592)</f>
        <v/>
      </c>
      <c r="O592" s="12">
        <f>H592*Beta_0+I592*Beta_1+J592*Beta_2+K592*Beta_3+L592*Beta_4+M592*Beta_5</f>
        <v/>
      </c>
      <c r="P592" s="12">
        <f>N592-O592</f>
        <v/>
      </c>
      <c r="Q592" s="13">
        <f>EXP(O592)*Smearing_Factor</f>
        <v/>
      </c>
    </row>
    <row r="593">
      <c r="A593" t="n">
        <v>592</v>
      </c>
      <c r="B593" t="inlineStr">
        <is>
          <t>Social sciences, journalism and information</t>
        </is>
      </c>
      <c r="C593" s="9" t="n">
        <v>2.63</v>
      </c>
      <c r="D593" t="n">
        <v>9</v>
      </c>
      <c r="E593" t="n">
        <v>0</v>
      </c>
      <c r="F593" t="n">
        <v>1</v>
      </c>
      <c r="G593" s="10" t="n">
        <v>1960</v>
      </c>
      <c r="H593" t="n">
        <v>1</v>
      </c>
      <c r="I593" s="11">
        <f>C593-CGPA_Mean</f>
        <v/>
      </c>
      <c r="J593">
        <f>D593</f>
        <v/>
      </c>
      <c r="K593">
        <f>E593</f>
        <v/>
      </c>
      <c r="L593">
        <f>F593</f>
        <v/>
      </c>
      <c r="M593" s="11">
        <f>I593*K593</f>
        <v/>
      </c>
      <c r="N593" s="12">
        <f>LN(G593)</f>
        <v/>
      </c>
      <c r="O593" s="12">
        <f>H593*Beta_0+I593*Beta_1+J593*Beta_2+K593*Beta_3+L593*Beta_4+M593*Beta_5</f>
        <v/>
      </c>
      <c r="P593" s="12">
        <f>N593-O593</f>
        <v/>
      </c>
      <c r="Q593" s="13">
        <f>EXP(O593)*Smearing_Factor</f>
        <v/>
      </c>
    </row>
    <row r="594">
      <c r="A594" t="n">
        <v>593</v>
      </c>
      <c r="B594" t="inlineStr">
        <is>
          <t>Engineering, manufacturing and construction</t>
        </is>
      </c>
      <c r="C594" s="9" t="n">
        <v>2.99</v>
      </c>
      <c r="D594" t="n">
        <v>6</v>
      </c>
      <c r="E594" t="n">
        <v>1</v>
      </c>
      <c r="F594" t="n">
        <v>0</v>
      </c>
      <c r="G594" s="10" t="n">
        <v>2950</v>
      </c>
      <c r="H594" t="n">
        <v>1</v>
      </c>
      <c r="I594" s="11">
        <f>C594-CGPA_Mean</f>
        <v/>
      </c>
      <c r="J594">
        <f>D594</f>
        <v/>
      </c>
      <c r="K594">
        <f>E594</f>
        <v/>
      </c>
      <c r="L594">
        <f>F594</f>
        <v/>
      </c>
      <c r="M594" s="11">
        <f>I594*K594</f>
        <v/>
      </c>
      <c r="N594" s="12">
        <f>LN(G594)</f>
        <v/>
      </c>
      <c r="O594" s="12">
        <f>H594*Beta_0+I594*Beta_1+J594*Beta_2+K594*Beta_3+L594*Beta_4+M594*Beta_5</f>
        <v/>
      </c>
      <c r="P594" s="12">
        <f>N594-O594</f>
        <v/>
      </c>
      <c r="Q594" s="13">
        <f>EXP(O594)*Smearing_Factor</f>
        <v/>
      </c>
    </row>
    <row r="595">
      <c r="A595" t="n">
        <v>594</v>
      </c>
      <c r="B595" t="inlineStr">
        <is>
          <t>Engineering, manufacturing and construction</t>
        </is>
      </c>
      <c r="C595" s="9" t="n">
        <v>3.41</v>
      </c>
      <c r="D595" t="n">
        <v>3</v>
      </c>
      <c r="E595" t="n">
        <v>1</v>
      </c>
      <c r="F595" t="n">
        <v>0</v>
      </c>
      <c r="G595" s="10" t="n">
        <v>2520</v>
      </c>
      <c r="H595" t="n">
        <v>1</v>
      </c>
      <c r="I595" s="11">
        <f>C595-CGPA_Mean</f>
        <v/>
      </c>
      <c r="J595">
        <f>D595</f>
        <v/>
      </c>
      <c r="K595">
        <f>E595</f>
        <v/>
      </c>
      <c r="L595">
        <f>F595</f>
        <v/>
      </c>
      <c r="M595" s="11">
        <f>I595*K595</f>
        <v/>
      </c>
      <c r="N595" s="12">
        <f>LN(G595)</f>
        <v/>
      </c>
      <c r="O595" s="12">
        <f>H595*Beta_0+I595*Beta_1+J595*Beta_2+K595*Beta_3+L595*Beta_4+M595*Beta_5</f>
        <v/>
      </c>
      <c r="P595" s="12">
        <f>N595-O595</f>
        <v/>
      </c>
      <c r="Q595" s="13">
        <f>EXP(O595)*Smearing_Factor</f>
        <v/>
      </c>
    </row>
    <row r="596">
      <c r="A596" t="n">
        <v>595</v>
      </c>
      <c r="B596" t="inlineStr">
        <is>
          <t>Information and communication technologies</t>
        </is>
      </c>
      <c r="C596" s="9" t="n">
        <v>3.45</v>
      </c>
      <c r="D596" t="n">
        <v>6</v>
      </c>
      <c r="E596" t="n">
        <v>1</v>
      </c>
      <c r="F596" t="n">
        <v>0</v>
      </c>
      <c r="G596" s="10" t="n">
        <v>3720</v>
      </c>
      <c r="H596" t="n">
        <v>1</v>
      </c>
      <c r="I596" s="11">
        <f>C596-CGPA_Mean</f>
        <v/>
      </c>
      <c r="J596">
        <f>D596</f>
        <v/>
      </c>
      <c r="K596">
        <f>E596</f>
        <v/>
      </c>
      <c r="L596">
        <f>F596</f>
        <v/>
      </c>
      <c r="M596" s="11">
        <f>I596*K596</f>
        <v/>
      </c>
      <c r="N596" s="12">
        <f>LN(G596)</f>
        <v/>
      </c>
      <c r="O596" s="12">
        <f>H596*Beta_0+I596*Beta_1+J596*Beta_2+K596*Beta_3+L596*Beta_4+M596*Beta_5</f>
        <v/>
      </c>
      <c r="P596" s="12">
        <f>N596-O596</f>
        <v/>
      </c>
      <c r="Q596" s="13">
        <f>EXP(O596)*Smearing_Factor</f>
        <v/>
      </c>
    </row>
    <row r="597">
      <c r="A597" t="n">
        <v>596</v>
      </c>
      <c r="B597" t="inlineStr">
        <is>
          <t>Social sciences, journalism and information</t>
        </is>
      </c>
      <c r="C597" s="9" t="n">
        <v>2.85</v>
      </c>
      <c r="D597" t="n">
        <v>9</v>
      </c>
      <c r="E597" t="n">
        <v>0</v>
      </c>
      <c r="F597" t="n">
        <v>0</v>
      </c>
      <c r="G597" s="10" t="n">
        <v>2240</v>
      </c>
      <c r="H597" t="n">
        <v>1</v>
      </c>
      <c r="I597" s="11">
        <f>C597-CGPA_Mean</f>
        <v/>
      </c>
      <c r="J597">
        <f>D597</f>
        <v/>
      </c>
      <c r="K597">
        <f>E597</f>
        <v/>
      </c>
      <c r="L597">
        <f>F597</f>
        <v/>
      </c>
      <c r="M597" s="11">
        <f>I597*K597</f>
        <v/>
      </c>
      <c r="N597" s="12">
        <f>LN(G597)</f>
        <v/>
      </c>
      <c r="O597" s="12">
        <f>H597*Beta_0+I597*Beta_1+J597*Beta_2+K597*Beta_3+L597*Beta_4+M597*Beta_5</f>
        <v/>
      </c>
      <c r="P597" s="12">
        <f>N597-O597</f>
        <v/>
      </c>
      <c r="Q597" s="13">
        <f>EXP(O597)*Smearing_Factor</f>
        <v/>
      </c>
    </row>
    <row r="598">
      <c r="A598" t="n">
        <v>597</v>
      </c>
      <c r="B598" t="inlineStr">
        <is>
          <t>Business, administration and law</t>
        </is>
      </c>
      <c r="C598" s="9" t="n">
        <v>3.25</v>
      </c>
      <c r="D598" t="n">
        <v>3</v>
      </c>
      <c r="E598" t="n">
        <v>0</v>
      </c>
      <c r="F598" t="n">
        <v>1</v>
      </c>
      <c r="G598" s="10" t="n">
        <v>3910</v>
      </c>
      <c r="H598" t="n">
        <v>1</v>
      </c>
      <c r="I598" s="11">
        <f>C598-CGPA_Mean</f>
        <v/>
      </c>
      <c r="J598">
        <f>D598</f>
        <v/>
      </c>
      <c r="K598">
        <f>E598</f>
        <v/>
      </c>
      <c r="L598">
        <f>F598</f>
        <v/>
      </c>
      <c r="M598" s="11">
        <f>I598*K598</f>
        <v/>
      </c>
      <c r="N598" s="12">
        <f>LN(G598)</f>
        <v/>
      </c>
      <c r="O598" s="12">
        <f>H598*Beta_0+I598*Beta_1+J598*Beta_2+K598*Beta_3+L598*Beta_4+M598*Beta_5</f>
        <v/>
      </c>
      <c r="P598" s="12">
        <f>N598-O598</f>
        <v/>
      </c>
      <c r="Q598" s="13">
        <f>EXP(O598)*Smearing_Factor</f>
        <v/>
      </c>
    </row>
    <row r="599">
      <c r="A599" t="n">
        <v>598</v>
      </c>
      <c r="B599" t="inlineStr">
        <is>
          <t>Engineering, manufacturing and construction</t>
        </is>
      </c>
      <c r="C599" s="9" t="n">
        <v>2.98</v>
      </c>
      <c r="D599" t="n">
        <v>6</v>
      </c>
      <c r="E599" t="n">
        <v>1</v>
      </c>
      <c r="F599" t="n">
        <v>0</v>
      </c>
      <c r="G599" s="10" t="n">
        <v>570</v>
      </c>
      <c r="H599" t="n">
        <v>1</v>
      </c>
      <c r="I599" s="11">
        <f>C599-CGPA_Mean</f>
        <v/>
      </c>
      <c r="J599">
        <f>D599</f>
        <v/>
      </c>
      <c r="K599">
        <f>E599</f>
        <v/>
      </c>
      <c r="L599">
        <f>F599</f>
        <v/>
      </c>
      <c r="M599" s="11">
        <f>I599*K599</f>
        <v/>
      </c>
      <c r="N599" s="12">
        <f>LN(G599)</f>
        <v/>
      </c>
      <c r="O599" s="12">
        <f>H599*Beta_0+I599*Beta_1+J599*Beta_2+K599*Beta_3+L599*Beta_4+M599*Beta_5</f>
        <v/>
      </c>
      <c r="P599" s="12">
        <f>N599-O599</f>
        <v/>
      </c>
      <c r="Q599" s="13">
        <f>EXP(O599)*Smearing_Factor</f>
        <v/>
      </c>
    </row>
    <row r="600">
      <c r="A600" t="n">
        <v>599</v>
      </c>
      <c r="B600" t="inlineStr">
        <is>
          <t>Health and welfare</t>
        </is>
      </c>
      <c r="C600" s="9" t="n">
        <v>3.11</v>
      </c>
      <c r="D600" t="n">
        <v>6</v>
      </c>
      <c r="E600" t="n">
        <v>0</v>
      </c>
      <c r="F600" t="n">
        <v>0</v>
      </c>
      <c r="G600" s="10" t="n">
        <v>3730</v>
      </c>
      <c r="H600" t="n">
        <v>1</v>
      </c>
      <c r="I600" s="11">
        <f>C600-CGPA_Mean</f>
        <v/>
      </c>
      <c r="J600">
        <f>D600</f>
        <v/>
      </c>
      <c r="K600">
        <f>E600</f>
        <v/>
      </c>
      <c r="L600">
        <f>F600</f>
        <v/>
      </c>
      <c r="M600" s="11">
        <f>I600*K600</f>
        <v/>
      </c>
      <c r="N600" s="12">
        <f>LN(G600)</f>
        <v/>
      </c>
      <c r="O600" s="12">
        <f>H600*Beta_0+I600*Beta_1+J600*Beta_2+K600*Beta_3+L600*Beta_4+M600*Beta_5</f>
        <v/>
      </c>
      <c r="P600" s="12">
        <f>N600-O600</f>
        <v/>
      </c>
      <c r="Q600" s="13">
        <f>EXP(O600)*Smearing_Factor</f>
        <v/>
      </c>
    </row>
    <row r="601">
      <c r="A601" t="n">
        <v>600</v>
      </c>
      <c r="B601" t="inlineStr">
        <is>
          <t>Engineering, manufacturing and construction</t>
        </is>
      </c>
      <c r="C601" s="9" t="n">
        <v>3.87</v>
      </c>
      <c r="D601" t="n">
        <v>3</v>
      </c>
      <c r="E601" t="n">
        <v>1</v>
      </c>
      <c r="F601" t="n">
        <v>0</v>
      </c>
      <c r="G601" s="10" t="n">
        <v>4880</v>
      </c>
      <c r="H601" t="n">
        <v>1</v>
      </c>
      <c r="I601" s="11">
        <f>C601-CGPA_Mean</f>
        <v/>
      </c>
      <c r="J601">
        <f>D601</f>
        <v/>
      </c>
      <c r="K601">
        <f>E601</f>
        <v/>
      </c>
      <c r="L601">
        <f>F601</f>
        <v/>
      </c>
      <c r="M601" s="11">
        <f>I601*K601</f>
        <v/>
      </c>
      <c r="N601" s="12">
        <f>LN(G601)</f>
        <v/>
      </c>
      <c r="O601" s="12">
        <f>H601*Beta_0+I601*Beta_1+J601*Beta_2+K601*Beta_3+L601*Beta_4+M601*Beta_5</f>
        <v/>
      </c>
      <c r="P601" s="12">
        <f>N601-O601</f>
        <v/>
      </c>
      <c r="Q601" s="13">
        <f>EXP(O601)*Smearing_Factor</f>
        <v/>
      </c>
    </row>
    <row r="602">
      <c r="A602" t="n">
        <v>601</v>
      </c>
      <c r="B602" t="inlineStr">
        <is>
          <t>Business, administration and law</t>
        </is>
      </c>
      <c r="C602" s="9" t="n">
        <v>3.72</v>
      </c>
      <c r="D602" t="n">
        <v>6</v>
      </c>
      <c r="E602" t="n">
        <v>0</v>
      </c>
      <c r="F602" t="n">
        <v>0</v>
      </c>
      <c r="G602" s="10" t="n">
        <v>8500</v>
      </c>
      <c r="H602" t="n">
        <v>1</v>
      </c>
      <c r="I602" s="11">
        <f>C602-CGPA_Mean</f>
        <v/>
      </c>
      <c r="J602">
        <f>D602</f>
        <v/>
      </c>
      <c r="K602">
        <f>E602</f>
        <v/>
      </c>
      <c r="L602">
        <f>F602</f>
        <v/>
      </c>
      <c r="M602" s="11">
        <f>I602*K602</f>
        <v/>
      </c>
      <c r="N602" s="12">
        <f>LN(G602)</f>
        <v/>
      </c>
      <c r="O602" s="12">
        <f>H602*Beta_0+I602*Beta_1+J602*Beta_2+K602*Beta_3+L602*Beta_4+M602*Beta_5</f>
        <v/>
      </c>
      <c r="P602" s="12">
        <f>N602-O602</f>
        <v/>
      </c>
      <c r="Q602" s="13">
        <f>EXP(O602)*Smearing_Factor</f>
        <v/>
      </c>
    </row>
    <row r="603">
      <c r="A603" t="n">
        <v>602</v>
      </c>
      <c r="B603" t="inlineStr">
        <is>
          <t>Information and communication technologies</t>
        </is>
      </c>
      <c r="C603" s="9" t="n">
        <v>3.57</v>
      </c>
      <c r="D603" t="n">
        <v>3</v>
      </c>
      <c r="E603" t="n">
        <v>1</v>
      </c>
      <c r="F603" t="n">
        <v>1</v>
      </c>
      <c r="G603" s="10" t="n">
        <v>4000</v>
      </c>
      <c r="H603" t="n">
        <v>1</v>
      </c>
      <c r="I603" s="11">
        <f>C603-CGPA_Mean</f>
        <v/>
      </c>
      <c r="J603">
        <f>D603</f>
        <v/>
      </c>
      <c r="K603">
        <f>E603</f>
        <v/>
      </c>
      <c r="L603">
        <f>F603</f>
        <v/>
      </c>
      <c r="M603" s="11">
        <f>I603*K603</f>
        <v/>
      </c>
      <c r="N603" s="12">
        <f>LN(G603)</f>
        <v/>
      </c>
      <c r="O603" s="12">
        <f>H603*Beta_0+I603*Beta_1+J603*Beta_2+K603*Beta_3+L603*Beta_4+M603*Beta_5</f>
        <v/>
      </c>
      <c r="P603" s="12">
        <f>N603-O603</f>
        <v/>
      </c>
      <c r="Q603" s="13">
        <f>EXP(O603)*Smearing_Factor</f>
        <v/>
      </c>
    </row>
    <row r="604">
      <c r="A604" t="n">
        <v>603</v>
      </c>
      <c r="B604" t="inlineStr">
        <is>
          <t>Engineering, manufacturing and construction</t>
        </is>
      </c>
      <c r="C604" s="9" t="n">
        <v>2.91</v>
      </c>
      <c r="D604" t="n">
        <v>3</v>
      </c>
      <c r="E604" t="n">
        <v>1</v>
      </c>
      <c r="F604" t="n">
        <v>1</v>
      </c>
      <c r="G604" s="10" t="n">
        <v>3630</v>
      </c>
      <c r="H604" t="n">
        <v>1</v>
      </c>
      <c r="I604" s="11">
        <f>C604-CGPA_Mean</f>
        <v/>
      </c>
      <c r="J604">
        <f>D604</f>
        <v/>
      </c>
      <c r="K604">
        <f>E604</f>
        <v/>
      </c>
      <c r="L604">
        <f>F604</f>
        <v/>
      </c>
      <c r="M604" s="11">
        <f>I604*K604</f>
        <v/>
      </c>
      <c r="N604" s="12">
        <f>LN(G604)</f>
        <v/>
      </c>
      <c r="O604" s="12">
        <f>H604*Beta_0+I604*Beta_1+J604*Beta_2+K604*Beta_3+L604*Beta_4+M604*Beta_5</f>
        <v/>
      </c>
      <c r="P604" s="12">
        <f>N604-O604</f>
        <v/>
      </c>
      <c r="Q604" s="13">
        <f>EXP(O604)*Smearing_Factor</f>
        <v/>
      </c>
    </row>
    <row r="605">
      <c r="A605" t="n">
        <v>604</v>
      </c>
      <c r="B605" t="inlineStr">
        <is>
          <t>Business, administration and law</t>
        </is>
      </c>
      <c r="C605" s="9" t="n">
        <v>2.92</v>
      </c>
      <c r="D605" t="n">
        <v>6</v>
      </c>
      <c r="E605" t="n">
        <v>0</v>
      </c>
      <c r="F605" t="n">
        <v>1</v>
      </c>
      <c r="G605" s="10" t="n">
        <v>3770</v>
      </c>
      <c r="H605" t="n">
        <v>1</v>
      </c>
      <c r="I605" s="11">
        <f>C605-CGPA_Mean</f>
        <v/>
      </c>
      <c r="J605">
        <f>D605</f>
        <v/>
      </c>
      <c r="K605">
        <f>E605</f>
        <v/>
      </c>
      <c r="L605">
        <f>F605</f>
        <v/>
      </c>
      <c r="M605" s="11">
        <f>I605*K605</f>
        <v/>
      </c>
      <c r="N605" s="12">
        <f>LN(G605)</f>
        <v/>
      </c>
      <c r="O605" s="12">
        <f>H605*Beta_0+I605*Beta_1+J605*Beta_2+K605*Beta_3+L605*Beta_4+M605*Beta_5</f>
        <v/>
      </c>
      <c r="P605" s="12">
        <f>N605-O605</f>
        <v/>
      </c>
      <c r="Q605" s="13">
        <f>EXP(O605)*Smearing_Factor</f>
        <v/>
      </c>
    </row>
    <row r="606">
      <c r="A606" t="n">
        <v>605</v>
      </c>
      <c r="B606" t="inlineStr">
        <is>
          <t>Business, administration and law</t>
        </is>
      </c>
      <c r="C606" s="9" t="n">
        <v>2.43</v>
      </c>
      <c r="D606" t="n">
        <v>6</v>
      </c>
      <c r="E606" t="n">
        <v>0</v>
      </c>
      <c r="F606" t="n">
        <v>1</v>
      </c>
      <c r="G606" s="10" t="n">
        <v>3380</v>
      </c>
      <c r="H606" t="n">
        <v>1</v>
      </c>
      <c r="I606" s="11">
        <f>C606-CGPA_Mean</f>
        <v/>
      </c>
      <c r="J606">
        <f>D606</f>
        <v/>
      </c>
      <c r="K606">
        <f>E606</f>
        <v/>
      </c>
      <c r="L606">
        <f>F606</f>
        <v/>
      </c>
      <c r="M606" s="11">
        <f>I606*K606</f>
        <v/>
      </c>
      <c r="N606" s="12">
        <f>LN(G606)</f>
        <v/>
      </c>
      <c r="O606" s="12">
        <f>H606*Beta_0+I606*Beta_1+J606*Beta_2+K606*Beta_3+L606*Beta_4+M606*Beta_5</f>
        <v/>
      </c>
      <c r="P606" s="12">
        <f>N606-O606</f>
        <v/>
      </c>
      <c r="Q606" s="13">
        <f>EXP(O606)*Smearing_Factor</f>
        <v/>
      </c>
    </row>
    <row r="607">
      <c r="A607" t="n">
        <v>606</v>
      </c>
      <c r="B607" t="inlineStr">
        <is>
          <t>Business, administration and law</t>
        </is>
      </c>
      <c r="C607" s="9" t="n">
        <v>2.94</v>
      </c>
      <c r="D607" t="n">
        <v>3</v>
      </c>
      <c r="E607" t="n">
        <v>0</v>
      </c>
      <c r="F607" t="n">
        <v>1</v>
      </c>
      <c r="G607" s="10" t="n">
        <v>1740</v>
      </c>
      <c r="H607" t="n">
        <v>1</v>
      </c>
      <c r="I607" s="11">
        <f>C607-CGPA_Mean</f>
        <v/>
      </c>
      <c r="J607">
        <f>D607</f>
        <v/>
      </c>
      <c r="K607">
        <f>E607</f>
        <v/>
      </c>
      <c r="L607">
        <f>F607</f>
        <v/>
      </c>
      <c r="M607" s="11">
        <f>I607*K607</f>
        <v/>
      </c>
      <c r="N607" s="12">
        <f>LN(G607)</f>
        <v/>
      </c>
      <c r="O607" s="12">
        <f>H607*Beta_0+I607*Beta_1+J607*Beta_2+K607*Beta_3+L607*Beta_4+M607*Beta_5</f>
        <v/>
      </c>
      <c r="P607" s="12">
        <f>N607-O607</f>
        <v/>
      </c>
      <c r="Q607" s="13">
        <f>EXP(O607)*Smearing_Factor</f>
        <v/>
      </c>
    </row>
    <row r="608">
      <c r="A608" t="n">
        <v>607</v>
      </c>
      <c r="B608" t="inlineStr">
        <is>
          <t>Business, administration and law</t>
        </is>
      </c>
      <c r="C608" s="9" t="n">
        <v>2.85</v>
      </c>
      <c r="D608" t="n">
        <v>9</v>
      </c>
      <c r="E608" t="n">
        <v>0</v>
      </c>
      <c r="F608" t="n">
        <v>0</v>
      </c>
      <c r="G608" s="10" t="n">
        <v>2010</v>
      </c>
      <c r="H608" t="n">
        <v>1</v>
      </c>
      <c r="I608" s="11">
        <f>C608-CGPA_Mean</f>
        <v/>
      </c>
      <c r="J608">
        <f>D608</f>
        <v/>
      </c>
      <c r="K608">
        <f>E608</f>
        <v/>
      </c>
      <c r="L608">
        <f>F608</f>
        <v/>
      </c>
      <c r="M608" s="11">
        <f>I608*K608</f>
        <v/>
      </c>
      <c r="N608" s="12">
        <f>LN(G608)</f>
        <v/>
      </c>
      <c r="O608" s="12">
        <f>H608*Beta_0+I608*Beta_1+J608*Beta_2+K608*Beta_3+L608*Beta_4+M608*Beta_5</f>
        <v/>
      </c>
      <c r="P608" s="12">
        <f>N608-O608</f>
        <v/>
      </c>
      <c r="Q608" s="13">
        <f>EXP(O608)*Smearing_Factor</f>
        <v/>
      </c>
    </row>
    <row r="609">
      <c r="A609" t="n">
        <v>608</v>
      </c>
      <c r="B609" t="inlineStr">
        <is>
          <t>Arts and humanities</t>
        </is>
      </c>
      <c r="C609" s="9" t="n">
        <v>3.64</v>
      </c>
      <c r="D609" t="n">
        <v>3</v>
      </c>
      <c r="E609" t="n">
        <v>0</v>
      </c>
      <c r="F609" t="n">
        <v>0</v>
      </c>
      <c r="G609" s="10" t="n">
        <v>600</v>
      </c>
      <c r="H609" t="n">
        <v>1</v>
      </c>
      <c r="I609" s="11">
        <f>C609-CGPA_Mean</f>
        <v/>
      </c>
      <c r="J609">
        <f>D609</f>
        <v/>
      </c>
      <c r="K609">
        <f>E609</f>
        <v/>
      </c>
      <c r="L609">
        <f>F609</f>
        <v/>
      </c>
      <c r="M609" s="11">
        <f>I609*K609</f>
        <v/>
      </c>
      <c r="N609" s="12">
        <f>LN(G609)</f>
        <v/>
      </c>
      <c r="O609" s="12">
        <f>H609*Beta_0+I609*Beta_1+J609*Beta_2+K609*Beta_3+L609*Beta_4+M609*Beta_5</f>
        <v/>
      </c>
      <c r="P609" s="12">
        <f>N609-O609</f>
        <v/>
      </c>
      <c r="Q609" s="13">
        <f>EXP(O609)*Smearing_Factor</f>
        <v/>
      </c>
    </row>
    <row r="610">
      <c r="A610" t="n">
        <v>609</v>
      </c>
      <c r="B610" t="inlineStr">
        <is>
          <t>Business, administration and law</t>
        </is>
      </c>
      <c r="C610" s="9" t="n">
        <v>3.18</v>
      </c>
      <c r="D610" t="n">
        <v>3</v>
      </c>
      <c r="E610" t="n">
        <v>0</v>
      </c>
      <c r="F610" t="n">
        <v>1</v>
      </c>
      <c r="G610" s="10" t="n">
        <v>1790</v>
      </c>
      <c r="H610" t="n">
        <v>1</v>
      </c>
      <c r="I610" s="11">
        <f>C610-CGPA_Mean</f>
        <v/>
      </c>
      <c r="J610">
        <f>D610</f>
        <v/>
      </c>
      <c r="K610">
        <f>E610</f>
        <v/>
      </c>
      <c r="L610">
        <f>F610</f>
        <v/>
      </c>
      <c r="M610" s="11">
        <f>I610*K610</f>
        <v/>
      </c>
      <c r="N610" s="12">
        <f>LN(G610)</f>
        <v/>
      </c>
      <c r="O610" s="12">
        <f>H610*Beta_0+I610*Beta_1+J610*Beta_2+K610*Beta_3+L610*Beta_4+M610*Beta_5</f>
        <v/>
      </c>
      <c r="P610" s="12">
        <f>N610-O610</f>
        <v/>
      </c>
      <c r="Q610" s="13">
        <f>EXP(O610)*Smearing_Factor</f>
        <v/>
      </c>
    </row>
    <row r="611">
      <c r="A611" t="n">
        <v>610</v>
      </c>
      <c r="B611" t="inlineStr">
        <is>
          <t>Information and communication technologies</t>
        </is>
      </c>
      <c r="C611" s="9" t="n">
        <v>3.07</v>
      </c>
      <c r="D611" t="n">
        <v>9</v>
      </c>
      <c r="E611" t="n">
        <v>1</v>
      </c>
      <c r="F611" t="n">
        <v>1</v>
      </c>
      <c r="G611" s="10" t="n">
        <v>1790</v>
      </c>
      <c r="H611" t="n">
        <v>1</v>
      </c>
      <c r="I611" s="11">
        <f>C611-CGPA_Mean</f>
        <v/>
      </c>
      <c r="J611">
        <f>D611</f>
        <v/>
      </c>
      <c r="K611">
        <f>E611</f>
        <v/>
      </c>
      <c r="L611">
        <f>F611</f>
        <v/>
      </c>
      <c r="M611" s="11">
        <f>I611*K611</f>
        <v/>
      </c>
      <c r="N611" s="12">
        <f>LN(G611)</f>
        <v/>
      </c>
      <c r="O611" s="12">
        <f>H611*Beta_0+I611*Beta_1+J611*Beta_2+K611*Beta_3+L611*Beta_4+M611*Beta_5</f>
        <v/>
      </c>
      <c r="P611" s="12">
        <f>N611-O611</f>
        <v/>
      </c>
      <c r="Q611" s="13">
        <f>EXP(O611)*Smearing_Factor</f>
        <v/>
      </c>
    </row>
    <row r="612">
      <c r="A612" t="n">
        <v>611</v>
      </c>
      <c r="B612" t="inlineStr">
        <is>
          <t>Natural sciences, mathematics and statistics</t>
        </is>
      </c>
      <c r="C612" s="9" t="n">
        <v>3.28</v>
      </c>
      <c r="D612" t="n">
        <v>3</v>
      </c>
      <c r="E612" t="n">
        <v>1</v>
      </c>
      <c r="F612" t="n">
        <v>0</v>
      </c>
      <c r="G612" s="10" t="n">
        <v>2160</v>
      </c>
      <c r="H612" t="n">
        <v>1</v>
      </c>
      <c r="I612" s="11">
        <f>C612-CGPA_Mean</f>
        <v/>
      </c>
      <c r="J612">
        <f>D612</f>
        <v/>
      </c>
      <c r="K612">
        <f>E612</f>
        <v/>
      </c>
      <c r="L612">
        <f>F612</f>
        <v/>
      </c>
      <c r="M612" s="11">
        <f>I612*K612</f>
        <v/>
      </c>
      <c r="N612" s="12">
        <f>LN(G612)</f>
        <v/>
      </c>
      <c r="O612" s="12">
        <f>H612*Beta_0+I612*Beta_1+J612*Beta_2+K612*Beta_3+L612*Beta_4+M612*Beta_5</f>
        <v/>
      </c>
      <c r="P612" s="12">
        <f>N612-O612</f>
        <v/>
      </c>
      <c r="Q612" s="13">
        <f>EXP(O612)*Smearing_Factor</f>
        <v/>
      </c>
    </row>
    <row r="613">
      <c r="A613" t="n">
        <v>612</v>
      </c>
      <c r="B613" t="inlineStr">
        <is>
          <t>Business, administration and law</t>
        </is>
      </c>
      <c r="C613" s="9" t="n">
        <v>3.38</v>
      </c>
      <c r="D613" t="n">
        <v>3</v>
      </c>
      <c r="E613" t="n">
        <v>0</v>
      </c>
      <c r="F613" t="n">
        <v>1</v>
      </c>
      <c r="G613" s="10" t="n">
        <v>3330</v>
      </c>
      <c r="H613" t="n">
        <v>1</v>
      </c>
      <c r="I613" s="11">
        <f>C613-CGPA_Mean</f>
        <v/>
      </c>
      <c r="J613">
        <f>D613</f>
        <v/>
      </c>
      <c r="K613">
        <f>E613</f>
        <v/>
      </c>
      <c r="L613">
        <f>F613</f>
        <v/>
      </c>
      <c r="M613" s="11">
        <f>I613*K613</f>
        <v/>
      </c>
      <c r="N613" s="12">
        <f>LN(G613)</f>
        <v/>
      </c>
      <c r="O613" s="12">
        <f>H613*Beta_0+I613*Beta_1+J613*Beta_2+K613*Beta_3+L613*Beta_4+M613*Beta_5</f>
        <v/>
      </c>
      <c r="P613" s="12">
        <f>N613-O613</f>
        <v/>
      </c>
      <c r="Q613" s="13">
        <f>EXP(O613)*Smearing_Factor</f>
        <v/>
      </c>
    </row>
    <row r="614">
      <c r="A614" t="n">
        <v>613</v>
      </c>
      <c r="B614" t="inlineStr">
        <is>
          <t>Business, administration and law</t>
        </is>
      </c>
      <c r="C614" s="9" t="n">
        <v>3.48</v>
      </c>
      <c r="D614" t="n">
        <v>3</v>
      </c>
      <c r="E614" t="n">
        <v>0</v>
      </c>
      <c r="F614" t="n">
        <v>0</v>
      </c>
      <c r="G614" s="10" t="n">
        <v>2650</v>
      </c>
      <c r="H614" t="n">
        <v>1</v>
      </c>
      <c r="I614" s="11">
        <f>C614-CGPA_Mean</f>
        <v/>
      </c>
      <c r="J614">
        <f>D614</f>
        <v/>
      </c>
      <c r="K614">
        <f>E614</f>
        <v/>
      </c>
      <c r="L614">
        <f>F614</f>
        <v/>
      </c>
      <c r="M614" s="11">
        <f>I614*K614</f>
        <v/>
      </c>
      <c r="N614" s="12">
        <f>LN(G614)</f>
        <v/>
      </c>
      <c r="O614" s="12">
        <f>H614*Beta_0+I614*Beta_1+J614*Beta_2+K614*Beta_3+L614*Beta_4+M614*Beta_5</f>
        <v/>
      </c>
      <c r="P614" s="12">
        <f>N614-O614</f>
        <v/>
      </c>
      <c r="Q614" s="13">
        <f>EXP(O614)*Smearing_Factor</f>
        <v/>
      </c>
    </row>
    <row r="615">
      <c r="A615" t="n">
        <v>614</v>
      </c>
      <c r="B615" t="inlineStr">
        <is>
          <t>Information and communication technologies</t>
        </is>
      </c>
      <c r="C615" s="9" t="n">
        <v>3.37</v>
      </c>
      <c r="D615" t="n">
        <v>6</v>
      </c>
      <c r="E615" t="n">
        <v>1</v>
      </c>
      <c r="F615" t="n">
        <v>0</v>
      </c>
      <c r="G615" s="10" t="n">
        <v>2270</v>
      </c>
      <c r="H615" t="n">
        <v>1</v>
      </c>
      <c r="I615" s="11">
        <f>C615-CGPA_Mean</f>
        <v/>
      </c>
      <c r="J615">
        <f>D615</f>
        <v/>
      </c>
      <c r="K615">
        <f>E615</f>
        <v/>
      </c>
      <c r="L615">
        <f>F615</f>
        <v/>
      </c>
      <c r="M615" s="11">
        <f>I615*K615</f>
        <v/>
      </c>
      <c r="N615" s="12">
        <f>LN(G615)</f>
        <v/>
      </c>
      <c r="O615" s="12">
        <f>H615*Beta_0+I615*Beta_1+J615*Beta_2+K615*Beta_3+L615*Beta_4+M615*Beta_5</f>
        <v/>
      </c>
      <c r="P615" s="12">
        <f>N615-O615</f>
        <v/>
      </c>
      <c r="Q615" s="13">
        <f>EXP(O615)*Smearing_Factor</f>
        <v/>
      </c>
    </row>
    <row r="616">
      <c r="A616" t="n">
        <v>615</v>
      </c>
      <c r="B616" t="inlineStr">
        <is>
          <t>Social sciences, journalism and information</t>
        </is>
      </c>
      <c r="C616" s="9" t="n">
        <v>3.11</v>
      </c>
      <c r="D616" t="n">
        <v>3</v>
      </c>
      <c r="E616" t="n">
        <v>0</v>
      </c>
      <c r="F616" t="n">
        <v>0</v>
      </c>
      <c r="G616" s="10" t="n">
        <v>1760</v>
      </c>
      <c r="H616" t="n">
        <v>1</v>
      </c>
      <c r="I616" s="11">
        <f>C616-CGPA_Mean</f>
        <v/>
      </c>
      <c r="J616">
        <f>D616</f>
        <v/>
      </c>
      <c r="K616">
        <f>E616</f>
        <v/>
      </c>
      <c r="L616">
        <f>F616</f>
        <v/>
      </c>
      <c r="M616" s="11">
        <f>I616*K616</f>
        <v/>
      </c>
      <c r="N616" s="12">
        <f>LN(G616)</f>
        <v/>
      </c>
      <c r="O616" s="12">
        <f>H616*Beta_0+I616*Beta_1+J616*Beta_2+K616*Beta_3+L616*Beta_4+M616*Beta_5</f>
        <v/>
      </c>
      <c r="P616" s="12">
        <f>N616-O616</f>
        <v/>
      </c>
      <c r="Q616" s="13">
        <f>EXP(O616)*Smearing_Factor</f>
        <v/>
      </c>
    </row>
    <row r="617">
      <c r="A617" t="n">
        <v>616</v>
      </c>
      <c r="B617" t="inlineStr">
        <is>
          <t>Engineering, manufacturing and construction</t>
        </is>
      </c>
      <c r="C617" s="9" t="n">
        <v>3.23</v>
      </c>
      <c r="D617" t="n">
        <v>3</v>
      </c>
      <c r="E617" t="n">
        <v>1</v>
      </c>
      <c r="F617" t="n">
        <v>0</v>
      </c>
      <c r="G617" s="10" t="n">
        <v>3430</v>
      </c>
      <c r="H617" t="n">
        <v>1</v>
      </c>
      <c r="I617" s="11">
        <f>C617-CGPA_Mean</f>
        <v/>
      </c>
      <c r="J617">
        <f>D617</f>
        <v/>
      </c>
      <c r="K617">
        <f>E617</f>
        <v/>
      </c>
      <c r="L617">
        <f>F617</f>
        <v/>
      </c>
      <c r="M617" s="11">
        <f>I617*K617</f>
        <v/>
      </c>
      <c r="N617" s="12">
        <f>LN(G617)</f>
        <v/>
      </c>
      <c r="O617" s="12">
        <f>H617*Beta_0+I617*Beta_1+J617*Beta_2+K617*Beta_3+L617*Beta_4+M617*Beta_5</f>
        <v/>
      </c>
      <c r="P617" s="12">
        <f>N617-O617</f>
        <v/>
      </c>
      <c r="Q617" s="13">
        <f>EXP(O617)*Smearing_Factor</f>
        <v/>
      </c>
    </row>
    <row r="618">
      <c r="A618" t="n">
        <v>617</v>
      </c>
      <c r="B618" t="inlineStr">
        <is>
          <t>Natural sciences, mathematics and statistics</t>
        </is>
      </c>
      <c r="C618" s="9" t="n">
        <v>3.16</v>
      </c>
      <c r="D618" t="n">
        <v>3</v>
      </c>
      <c r="E618" t="n">
        <v>1</v>
      </c>
      <c r="F618" t="n">
        <v>0</v>
      </c>
      <c r="G618" s="10" t="n">
        <v>1530</v>
      </c>
      <c r="H618" t="n">
        <v>1</v>
      </c>
      <c r="I618" s="11">
        <f>C618-CGPA_Mean</f>
        <v/>
      </c>
      <c r="J618">
        <f>D618</f>
        <v/>
      </c>
      <c r="K618">
        <f>E618</f>
        <v/>
      </c>
      <c r="L618">
        <f>F618</f>
        <v/>
      </c>
      <c r="M618" s="11">
        <f>I618*K618</f>
        <v/>
      </c>
      <c r="N618" s="12">
        <f>LN(G618)</f>
        <v/>
      </c>
      <c r="O618" s="12">
        <f>H618*Beta_0+I618*Beta_1+J618*Beta_2+K618*Beta_3+L618*Beta_4+M618*Beta_5</f>
        <v/>
      </c>
      <c r="P618" s="12">
        <f>N618-O618</f>
        <v/>
      </c>
      <c r="Q618" s="13">
        <f>EXP(O618)*Smearing_Factor</f>
        <v/>
      </c>
    </row>
    <row r="619">
      <c r="A619" t="n">
        <v>618</v>
      </c>
      <c r="B619" t="inlineStr">
        <is>
          <t>Business, administration and law</t>
        </is>
      </c>
      <c r="C619" s="9" t="n">
        <v>3.6</v>
      </c>
      <c r="D619" t="n">
        <v>9</v>
      </c>
      <c r="E619" t="n">
        <v>0</v>
      </c>
      <c r="F619" t="n">
        <v>0</v>
      </c>
      <c r="G619" s="10" t="n">
        <v>2650</v>
      </c>
      <c r="H619" t="n">
        <v>1</v>
      </c>
      <c r="I619" s="11">
        <f>C619-CGPA_Mean</f>
        <v/>
      </c>
      <c r="J619">
        <f>D619</f>
        <v/>
      </c>
      <c r="K619">
        <f>E619</f>
        <v/>
      </c>
      <c r="L619">
        <f>F619</f>
        <v/>
      </c>
      <c r="M619" s="11">
        <f>I619*K619</f>
        <v/>
      </c>
      <c r="N619" s="12">
        <f>LN(G619)</f>
        <v/>
      </c>
      <c r="O619" s="12">
        <f>H619*Beta_0+I619*Beta_1+J619*Beta_2+K619*Beta_3+L619*Beta_4+M619*Beta_5</f>
        <v/>
      </c>
      <c r="P619" s="12">
        <f>N619-O619</f>
        <v/>
      </c>
      <c r="Q619" s="13">
        <f>EXP(O619)*Smearing_Factor</f>
        <v/>
      </c>
    </row>
    <row r="620">
      <c r="A620" t="n">
        <v>619</v>
      </c>
      <c r="B620" t="inlineStr">
        <is>
          <t>Business, administration and law</t>
        </is>
      </c>
      <c r="C620" s="9" t="n">
        <v>2.41</v>
      </c>
      <c r="D620" t="n">
        <v>9</v>
      </c>
      <c r="E620" t="n">
        <v>0</v>
      </c>
      <c r="F620" t="n">
        <v>0</v>
      </c>
      <c r="G620" s="10" t="n">
        <v>1600</v>
      </c>
      <c r="H620" t="n">
        <v>1</v>
      </c>
      <c r="I620" s="11">
        <f>C620-CGPA_Mean</f>
        <v/>
      </c>
      <c r="J620">
        <f>D620</f>
        <v/>
      </c>
      <c r="K620">
        <f>E620</f>
        <v/>
      </c>
      <c r="L620">
        <f>F620</f>
        <v/>
      </c>
      <c r="M620" s="11">
        <f>I620*K620</f>
        <v/>
      </c>
      <c r="N620" s="12">
        <f>LN(G620)</f>
        <v/>
      </c>
      <c r="O620" s="12">
        <f>H620*Beta_0+I620*Beta_1+J620*Beta_2+K620*Beta_3+L620*Beta_4+M620*Beta_5</f>
        <v/>
      </c>
      <c r="P620" s="12">
        <f>N620-O620</f>
        <v/>
      </c>
      <c r="Q620" s="13">
        <f>EXP(O620)*Smearing_Factor</f>
        <v/>
      </c>
    </row>
    <row r="621">
      <c r="A621" t="n">
        <v>620</v>
      </c>
      <c r="B621" t="inlineStr">
        <is>
          <t>Engineering, manufacturing and construction</t>
        </is>
      </c>
      <c r="C621" s="9" t="n">
        <v>3.45</v>
      </c>
      <c r="D621" t="n">
        <v>3</v>
      </c>
      <c r="E621" t="n">
        <v>1</v>
      </c>
      <c r="F621" t="n">
        <v>1</v>
      </c>
      <c r="G621" s="10" t="n">
        <v>3020</v>
      </c>
      <c r="H621" t="n">
        <v>1</v>
      </c>
      <c r="I621" s="11">
        <f>C621-CGPA_Mean</f>
        <v/>
      </c>
      <c r="J621">
        <f>D621</f>
        <v/>
      </c>
      <c r="K621">
        <f>E621</f>
        <v/>
      </c>
      <c r="L621">
        <f>F621</f>
        <v/>
      </c>
      <c r="M621" s="11">
        <f>I621*K621</f>
        <v/>
      </c>
      <c r="N621" s="12">
        <f>LN(G621)</f>
        <v/>
      </c>
      <c r="O621" s="12">
        <f>H621*Beta_0+I621*Beta_1+J621*Beta_2+K621*Beta_3+L621*Beta_4+M621*Beta_5</f>
        <v/>
      </c>
      <c r="P621" s="12">
        <f>N621-O621</f>
        <v/>
      </c>
      <c r="Q621" s="13">
        <f>EXP(O621)*Smearing_Factor</f>
        <v/>
      </c>
    </row>
    <row r="622">
      <c r="A622" t="n">
        <v>621</v>
      </c>
      <c r="B622" t="inlineStr">
        <is>
          <t>Engineering, manufacturing and construction</t>
        </is>
      </c>
      <c r="C622" s="9" t="n">
        <v>3.12</v>
      </c>
      <c r="D622" t="n">
        <v>6</v>
      </c>
      <c r="E622" t="n">
        <v>1</v>
      </c>
      <c r="F622" t="n">
        <v>0</v>
      </c>
      <c r="G622" s="10" t="n">
        <v>3590</v>
      </c>
      <c r="H622" t="n">
        <v>1</v>
      </c>
      <c r="I622" s="11">
        <f>C622-CGPA_Mean</f>
        <v/>
      </c>
      <c r="J622">
        <f>D622</f>
        <v/>
      </c>
      <c r="K622">
        <f>E622</f>
        <v/>
      </c>
      <c r="L622">
        <f>F622</f>
        <v/>
      </c>
      <c r="M622" s="11">
        <f>I622*K622</f>
        <v/>
      </c>
      <c r="N622" s="12">
        <f>LN(G622)</f>
        <v/>
      </c>
      <c r="O622" s="12">
        <f>H622*Beta_0+I622*Beta_1+J622*Beta_2+K622*Beta_3+L622*Beta_4+M622*Beta_5</f>
        <v/>
      </c>
      <c r="P622" s="12">
        <f>N622-O622</f>
        <v/>
      </c>
      <c r="Q622" s="13">
        <f>EXP(O622)*Smearing_Factor</f>
        <v/>
      </c>
    </row>
    <row r="623">
      <c r="A623" t="n">
        <v>622</v>
      </c>
      <c r="B623" t="inlineStr">
        <is>
          <t>Business, administration and law</t>
        </is>
      </c>
      <c r="C623" s="9" t="n">
        <v>3.4</v>
      </c>
      <c r="D623" t="n">
        <v>6</v>
      </c>
      <c r="E623" t="n">
        <v>0</v>
      </c>
      <c r="F623" t="n">
        <v>0</v>
      </c>
      <c r="G623" s="10" t="n">
        <v>1740</v>
      </c>
      <c r="H623" t="n">
        <v>1</v>
      </c>
      <c r="I623" s="11">
        <f>C623-CGPA_Mean</f>
        <v/>
      </c>
      <c r="J623">
        <f>D623</f>
        <v/>
      </c>
      <c r="K623">
        <f>E623</f>
        <v/>
      </c>
      <c r="L623">
        <f>F623</f>
        <v/>
      </c>
      <c r="M623" s="11">
        <f>I623*K623</f>
        <v/>
      </c>
      <c r="N623" s="12">
        <f>LN(G623)</f>
        <v/>
      </c>
      <c r="O623" s="12">
        <f>H623*Beta_0+I623*Beta_1+J623*Beta_2+K623*Beta_3+L623*Beta_4+M623*Beta_5</f>
        <v/>
      </c>
      <c r="P623" s="12">
        <f>N623-O623</f>
        <v/>
      </c>
      <c r="Q623" s="13">
        <f>EXP(O623)*Smearing_Factor</f>
        <v/>
      </c>
    </row>
    <row r="624">
      <c r="A624" t="n">
        <v>623</v>
      </c>
      <c r="B624" t="inlineStr">
        <is>
          <t>Business, administration and law</t>
        </is>
      </c>
      <c r="C624" s="9" t="n">
        <v>3.36</v>
      </c>
      <c r="D624" t="n">
        <v>9</v>
      </c>
      <c r="E624" t="n">
        <v>0</v>
      </c>
      <c r="F624" t="n">
        <v>0</v>
      </c>
      <c r="G624" s="10" t="n">
        <v>3320</v>
      </c>
      <c r="H624" t="n">
        <v>1</v>
      </c>
      <c r="I624" s="11">
        <f>C624-CGPA_Mean</f>
        <v/>
      </c>
      <c r="J624">
        <f>D624</f>
        <v/>
      </c>
      <c r="K624">
        <f>E624</f>
        <v/>
      </c>
      <c r="L624">
        <f>F624</f>
        <v/>
      </c>
      <c r="M624" s="11">
        <f>I624*K624</f>
        <v/>
      </c>
      <c r="N624" s="12">
        <f>LN(G624)</f>
        <v/>
      </c>
      <c r="O624" s="12">
        <f>H624*Beta_0+I624*Beta_1+J624*Beta_2+K624*Beta_3+L624*Beta_4+M624*Beta_5</f>
        <v/>
      </c>
      <c r="P624" s="12">
        <f>N624-O624</f>
        <v/>
      </c>
      <c r="Q624" s="13">
        <f>EXP(O624)*Smearing_Factor</f>
        <v/>
      </c>
    </row>
    <row r="625">
      <c r="A625" t="n">
        <v>624</v>
      </c>
      <c r="B625" t="inlineStr">
        <is>
          <t>Engineering, manufacturing and construction</t>
        </is>
      </c>
      <c r="C625" s="9" t="n">
        <v>3.1</v>
      </c>
      <c r="D625" t="n">
        <v>3</v>
      </c>
      <c r="E625" t="n">
        <v>1</v>
      </c>
      <c r="F625" t="n">
        <v>0</v>
      </c>
      <c r="G625" s="10" t="n">
        <v>2150</v>
      </c>
      <c r="H625" t="n">
        <v>1</v>
      </c>
      <c r="I625" s="11">
        <f>C625-CGPA_Mean</f>
        <v/>
      </c>
      <c r="J625">
        <f>D625</f>
        <v/>
      </c>
      <c r="K625">
        <f>E625</f>
        <v/>
      </c>
      <c r="L625">
        <f>F625</f>
        <v/>
      </c>
      <c r="M625" s="11">
        <f>I625*K625</f>
        <v/>
      </c>
      <c r="N625" s="12">
        <f>LN(G625)</f>
        <v/>
      </c>
      <c r="O625" s="12">
        <f>H625*Beta_0+I625*Beta_1+J625*Beta_2+K625*Beta_3+L625*Beta_4+M625*Beta_5</f>
        <v/>
      </c>
      <c r="P625" s="12">
        <f>N625-O625</f>
        <v/>
      </c>
      <c r="Q625" s="13">
        <f>EXP(O625)*Smearing_Factor</f>
        <v/>
      </c>
    </row>
    <row r="626">
      <c r="A626" t="n">
        <v>625</v>
      </c>
      <c r="B626" t="inlineStr">
        <is>
          <t>Health and welfare</t>
        </is>
      </c>
      <c r="C626" s="9" t="n">
        <v>3.67</v>
      </c>
      <c r="D626" t="n">
        <v>9</v>
      </c>
      <c r="E626" t="n">
        <v>0</v>
      </c>
      <c r="F626" t="n">
        <v>1</v>
      </c>
      <c r="G626" s="10" t="n">
        <v>8990</v>
      </c>
      <c r="H626" t="n">
        <v>1</v>
      </c>
      <c r="I626" s="11">
        <f>C626-CGPA_Mean</f>
        <v/>
      </c>
      <c r="J626">
        <f>D626</f>
        <v/>
      </c>
      <c r="K626">
        <f>E626</f>
        <v/>
      </c>
      <c r="L626">
        <f>F626</f>
        <v/>
      </c>
      <c r="M626" s="11">
        <f>I626*K626</f>
        <v/>
      </c>
      <c r="N626" s="12">
        <f>LN(G626)</f>
        <v/>
      </c>
      <c r="O626" s="12">
        <f>H626*Beta_0+I626*Beta_1+J626*Beta_2+K626*Beta_3+L626*Beta_4+M626*Beta_5</f>
        <v/>
      </c>
      <c r="P626" s="12">
        <f>N626-O626</f>
        <v/>
      </c>
      <c r="Q626" s="13">
        <f>EXP(O626)*Smearing_Factor</f>
        <v/>
      </c>
    </row>
    <row r="627">
      <c r="A627" t="n">
        <v>626</v>
      </c>
      <c r="B627" t="inlineStr">
        <is>
          <t>Engineering, manufacturing and construction</t>
        </is>
      </c>
      <c r="C627" s="9" t="n">
        <v>2.83</v>
      </c>
      <c r="D627" t="n">
        <v>3</v>
      </c>
      <c r="E627" t="n">
        <v>1</v>
      </c>
      <c r="F627" t="n">
        <v>0</v>
      </c>
      <c r="G627" s="10" t="n">
        <v>2760</v>
      </c>
      <c r="H627" t="n">
        <v>1</v>
      </c>
      <c r="I627" s="11">
        <f>C627-CGPA_Mean</f>
        <v/>
      </c>
      <c r="J627">
        <f>D627</f>
        <v/>
      </c>
      <c r="K627">
        <f>E627</f>
        <v/>
      </c>
      <c r="L627">
        <f>F627</f>
        <v/>
      </c>
      <c r="M627" s="11">
        <f>I627*K627</f>
        <v/>
      </c>
      <c r="N627" s="12">
        <f>LN(G627)</f>
        <v/>
      </c>
      <c r="O627" s="12">
        <f>H627*Beta_0+I627*Beta_1+J627*Beta_2+K627*Beta_3+L627*Beta_4+M627*Beta_5</f>
        <v/>
      </c>
      <c r="P627" s="12">
        <f>N627-O627</f>
        <v/>
      </c>
      <c r="Q627" s="13">
        <f>EXP(O627)*Smearing_Factor</f>
        <v/>
      </c>
    </row>
    <row r="628">
      <c r="A628" t="n">
        <v>627</v>
      </c>
      <c r="B628" t="inlineStr">
        <is>
          <t>Business, administration and law</t>
        </is>
      </c>
      <c r="C628" s="9" t="n">
        <v>3.53</v>
      </c>
      <c r="D628" t="n">
        <v>6</v>
      </c>
      <c r="E628" t="n">
        <v>0</v>
      </c>
      <c r="F628" t="n">
        <v>0</v>
      </c>
      <c r="G628" s="10" t="n">
        <v>1440</v>
      </c>
      <c r="H628" t="n">
        <v>1</v>
      </c>
      <c r="I628" s="11">
        <f>C628-CGPA_Mean</f>
        <v/>
      </c>
      <c r="J628">
        <f>D628</f>
        <v/>
      </c>
      <c r="K628">
        <f>E628</f>
        <v/>
      </c>
      <c r="L628">
        <f>F628</f>
        <v/>
      </c>
      <c r="M628" s="11">
        <f>I628*K628</f>
        <v/>
      </c>
      <c r="N628" s="12">
        <f>LN(G628)</f>
        <v/>
      </c>
      <c r="O628" s="12">
        <f>H628*Beta_0+I628*Beta_1+J628*Beta_2+K628*Beta_3+L628*Beta_4+M628*Beta_5</f>
        <v/>
      </c>
      <c r="P628" s="12">
        <f>N628-O628</f>
        <v/>
      </c>
      <c r="Q628" s="13">
        <f>EXP(O628)*Smearing_Factor</f>
        <v/>
      </c>
    </row>
    <row r="629">
      <c r="A629" t="n">
        <v>628</v>
      </c>
      <c r="B629" t="inlineStr">
        <is>
          <t>Engineering, manufacturing and construction</t>
        </is>
      </c>
      <c r="C629" s="9" t="n">
        <v>3.3</v>
      </c>
      <c r="D629" t="n">
        <v>6</v>
      </c>
      <c r="E629" t="n">
        <v>1</v>
      </c>
      <c r="F629" t="n">
        <v>0</v>
      </c>
      <c r="G629" s="10" t="n">
        <v>3000</v>
      </c>
      <c r="H629" t="n">
        <v>1</v>
      </c>
      <c r="I629" s="11">
        <f>C629-CGPA_Mean</f>
        <v/>
      </c>
      <c r="J629">
        <f>D629</f>
        <v/>
      </c>
      <c r="K629">
        <f>E629</f>
        <v/>
      </c>
      <c r="L629">
        <f>F629</f>
        <v/>
      </c>
      <c r="M629" s="11">
        <f>I629*K629</f>
        <v/>
      </c>
      <c r="N629" s="12">
        <f>LN(G629)</f>
        <v/>
      </c>
      <c r="O629" s="12">
        <f>H629*Beta_0+I629*Beta_1+J629*Beta_2+K629*Beta_3+L629*Beta_4+M629*Beta_5</f>
        <v/>
      </c>
      <c r="P629" s="12">
        <f>N629-O629</f>
        <v/>
      </c>
      <c r="Q629" s="13">
        <f>EXP(O629)*Smearing_Factor</f>
        <v/>
      </c>
    </row>
    <row r="630">
      <c r="A630" t="n">
        <v>629</v>
      </c>
      <c r="B630" t="inlineStr">
        <is>
          <t>Health and welfare</t>
        </is>
      </c>
      <c r="C630" s="9" t="n">
        <v>2.72</v>
      </c>
      <c r="D630" t="n">
        <v>6</v>
      </c>
      <c r="E630" t="n">
        <v>0</v>
      </c>
      <c r="F630" t="n">
        <v>0</v>
      </c>
      <c r="G630" s="10" t="n">
        <v>2920</v>
      </c>
      <c r="H630" t="n">
        <v>1</v>
      </c>
      <c r="I630" s="11">
        <f>C630-CGPA_Mean</f>
        <v/>
      </c>
      <c r="J630">
        <f>D630</f>
        <v/>
      </c>
      <c r="K630">
        <f>E630</f>
        <v/>
      </c>
      <c r="L630">
        <f>F630</f>
        <v/>
      </c>
      <c r="M630" s="11">
        <f>I630*K630</f>
        <v/>
      </c>
      <c r="N630" s="12">
        <f>LN(G630)</f>
        <v/>
      </c>
      <c r="O630" s="12">
        <f>H630*Beta_0+I630*Beta_1+J630*Beta_2+K630*Beta_3+L630*Beta_4+M630*Beta_5</f>
        <v/>
      </c>
      <c r="P630" s="12">
        <f>N630-O630</f>
        <v/>
      </c>
      <c r="Q630" s="13">
        <f>EXP(O630)*Smearing_Factor</f>
        <v/>
      </c>
    </row>
    <row r="631">
      <c r="A631" t="n">
        <v>630</v>
      </c>
      <c r="B631" t="inlineStr">
        <is>
          <t>Information and communication technologies</t>
        </is>
      </c>
      <c r="C631" s="9" t="n">
        <v>3.08</v>
      </c>
      <c r="D631" t="n">
        <v>3</v>
      </c>
      <c r="E631" t="n">
        <v>1</v>
      </c>
      <c r="F631" t="n">
        <v>1</v>
      </c>
      <c r="G631" s="10" t="n">
        <v>3600</v>
      </c>
      <c r="H631" t="n">
        <v>1</v>
      </c>
      <c r="I631" s="11">
        <f>C631-CGPA_Mean</f>
        <v/>
      </c>
      <c r="J631">
        <f>D631</f>
        <v/>
      </c>
      <c r="K631">
        <f>E631</f>
        <v/>
      </c>
      <c r="L631">
        <f>F631</f>
        <v/>
      </c>
      <c r="M631" s="11">
        <f>I631*K631</f>
        <v/>
      </c>
      <c r="N631" s="12">
        <f>LN(G631)</f>
        <v/>
      </c>
      <c r="O631" s="12">
        <f>H631*Beta_0+I631*Beta_1+J631*Beta_2+K631*Beta_3+L631*Beta_4+M631*Beta_5</f>
        <v/>
      </c>
      <c r="P631" s="12">
        <f>N631-O631</f>
        <v/>
      </c>
      <c r="Q631" s="13">
        <f>EXP(O631)*Smearing_Factor</f>
        <v/>
      </c>
    </row>
    <row r="632">
      <c r="A632" t="n">
        <v>631</v>
      </c>
      <c r="B632" t="inlineStr">
        <is>
          <t>Engineering, manufacturing and construction</t>
        </is>
      </c>
      <c r="C632" s="9" t="n">
        <v>3.13</v>
      </c>
      <c r="D632" t="n">
        <v>6</v>
      </c>
      <c r="E632" t="n">
        <v>1</v>
      </c>
      <c r="F632" t="n">
        <v>0</v>
      </c>
      <c r="G632" s="10" t="n">
        <v>3330</v>
      </c>
      <c r="H632" t="n">
        <v>1</v>
      </c>
      <c r="I632" s="11">
        <f>C632-CGPA_Mean</f>
        <v/>
      </c>
      <c r="J632">
        <f>D632</f>
        <v/>
      </c>
      <c r="K632">
        <f>E632</f>
        <v/>
      </c>
      <c r="L632">
        <f>F632</f>
        <v/>
      </c>
      <c r="M632" s="11">
        <f>I632*K632</f>
        <v/>
      </c>
      <c r="N632" s="12">
        <f>LN(G632)</f>
        <v/>
      </c>
      <c r="O632" s="12">
        <f>H632*Beta_0+I632*Beta_1+J632*Beta_2+K632*Beta_3+L632*Beta_4+M632*Beta_5</f>
        <v/>
      </c>
      <c r="P632" s="12">
        <f>N632-O632</f>
        <v/>
      </c>
      <c r="Q632" s="13">
        <f>EXP(O632)*Smearing_Factor</f>
        <v/>
      </c>
    </row>
    <row r="633">
      <c r="A633" t="n">
        <v>632</v>
      </c>
      <c r="B633" t="inlineStr">
        <is>
          <t>Business, administration and law</t>
        </is>
      </c>
      <c r="C633" s="9" t="n">
        <v>3</v>
      </c>
      <c r="D633" t="n">
        <v>6</v>
      </c>
      <c r="E633" t="n">
        <v>0</v>
      </c>
      <c r="F633" t="n">
        <v>1</v>
      </c>
      <c r="G633" s="10" t="n">
        <v>2100</v>
      </c>
      <c r="H633" t="n">
        <v>1</v>
      </c>
      <c r="I633" s="11">
        <f>C633-CGPA_Mean</f>
        <v/>
      </c>
      <c r="J633">
        <f>D633</f>
        <v/>
      </c>
      <c r="K633">
        <f>E633</f>
        <v/>
      </c>
      <c r="L633">
        <f>F633</f>
        <v/>
      </c>
      <c r="M633" s="11">
        <f>I633*K633</f>
        <v/>
      </c>
      <c r="N633" s="12">
        <f>LN(G633)</f>
        <v/>
      </c>
      <c r="O633" s="12">
        <f>H633*Beta_0+I633*Beta_1+J633*Beta_2+K633*Beta_3+L633*Beta_4+M633*Beta_5</f>
        <v/>
      </c>
      <c r="P633" s="12">
        <f>N633-O633</f>
        <v/>
      </c>
      <c r="Q633" s="13">
        <f>EXP(O633)*Smearing_Factor</f>
        <v/>
      </c>
    </row>
    <row r="634">
      <c r="A634" t="n">
        <v>633</v>
      </c>
      <c r="B634" t="inlineStr">
        <is>
          <t>Business, administration and law</t>
        </is>
      </c>
      <c r="C634" s="9" t="n">
        <v>2.44</v>
      </c>
      <c r="D634" t="n">
        <v>6</v>
      </c>
      <c r="E634" t="n">
        <v>0</v>
      </c>
      <c r="F634" t="n">
        <v>0</v>
      </c>
      <c r="G634" s="10" t="n">
        <v>520</v>
      </c>
      <c r="H634" t="n">
        <v>1</v>
      </c>
      <c r="I634" s="11">
        <f>C634-CGPA_Mean</f>
        <v/>
      </c>
      <c r="J634">
        <f>D634</f>
        <v/>
      </c>
      <c r="K634">
        <f>E634</f>
        <v/>
      </c>
      <c r="L634">
        <f>F634</f>
        <v/>
      </c>
      <c r="M634" s="11">
        <f>I634*K634</f>
        <v/>
      </c>
      <c r="N634" s="12">
        <f>LN(G634)</f>
        <v/>
      </c>
      <c r="O634" s="12">
        <f>H634*Beta_0+I634*Beta_1+J634*Beta_2+K634*Beta_3+L634*Beta_4+M634*Beta_5</f>
        <v/>
      </c>
      <c r="P634" s="12">
        <f>N634-O634</f>
        <v/>
      </c>
      <c r="Q634" s="13">
        <f>EXP(O634)*Smearing_Factor</f>
        <v/>
      </c>
    </row>
    <row r="635">
      <c r="A635" t="n">
        <v>634</v>
      </c>
      <c r="B635" t="inlineStr">
        <is>
          <t>Health and welfare</t>
        </is>
      </c>
      <c r="C635" s="9" t="n">
        <v>3.56</v>
      </c>
      <c r="D635" t="n">
        <v>6</v>
      </c>
      <c r="E635" t="n">
        <v>0</v>
      </c>
      <c r="F635" t="n">
        <v>1</v>
      </c>
      <c r="G635" s="10" t="n">
        <v>2500</v>
      </c>
      <c r="H635" t="n">
        <v>1</v>
      </c>
      <c r="I635" s="11">
        <f>C635-CGPA_Mean</f>
        <v/>
      </c>
      <c r="J635">
        <f>D635</f>
        <v/>
      </c>
      <c r="K635">
        <f>E635</f>
        <v/>
      </c>
      <c r="L635">
        <f>F635</f>
        <v/>
      </c>
      <c r="M635" s="11">
        <f>I635*K635</f>
        <v/>
      </c>
      <c r="N635" s="12">
        <f>LN(G635)</f>
        <v/>
      </c>
      <c r="O635" s="12">
        <f>H635*Beta_0+I635*Beta_1+J635*Beta_2+K635*Beta_3+L635*Beta_4+M635*Beta_5</f>
        <v/>
      </c>
      <c r="P635" s="12">
        <f>N635-O635</f>
        <v/>
      </c>
      <c r="Q635" s="13">
        <f>EXP(O635)*Smearing_Factor</f>
        <v/>
      </c>
    </row>
    <row r="636">
      <c r="A636" t="n">
        <v>635</v>
      </c>
      <c r="B636" t="inlineStr">
        <is>
          <t>Social sciences, journalism and information</t>
        </is>
      </c>
      <c r="C636" s="9" t="n">
        <v>3.45</v>
      </c>
      <c r="D636" t="n">
        <v>6</v>
      </c>
      <c r="E636" t="n">
        <v>0</v>
      </c>
      <c r="F636" t="n">
        <v>1</v>
      </c>
      <c r="G636" s="10" t="n">
        <v>1850</v>
      </c>
      <c r="H636" t="n">
        <v>1</v>
      </c>
      <c r="I636" s="11">
        <f>C636-CGPA_Mean</f>
        <v/>
      </c>
      <c r="J636">
        <f>D636</f>
        <v/>
      </c>
      <c r="K636">
        <f>E636</f>
        <v/>
      </c>
      <c r="L636">
        <f>F636</f>
        <v/>
      </c>
      <c r="M636" s="11">
        <f>I636*K636</f>
        <v/>
      </c>
      <c r="N636" s="12">
        <f>LN(G636)</f>
        <v/>
      </c>
      <c r="O636" s="12">
        <f>H636*Beta_0+I636*Beta_1+J636*Beta_2+K636*Beta_3+L636*Beta_4+M636*Beta_5</f>
        <v/>
      </c>
      <c r="P636" s="12">
        <f>N636-O636</f>
        <v/>
      </c>
      <c r="Q636" s="13">
        <f>EXP(O636)*Smearing_Factor</f>
        <v/>
      </c>
    </row>
    <row r="637">
      <c r="A637" t="n">
        <v>636</v>
      </c>
      <c r="B637" t="inlineStr">
        <is>
          <t>Business, administration and law</t>
        </is>
      </c>
      <c r="C637" s="9" t="n">
        <v>3.37</v>
      </c>
      <c r="D637" t="n">
        <v>3</v>
      </c>
      <c r="E637" t="n">
        <v>0</v>
      </c>
      <c r="F637" t="n">
        <v>0</v>
      </c>
      <c r="G637" s="10" t="n">
        <v>2260</v>
      </c>
      <c r="H637" t="n">
        <v>1</v>
      </c>
      <c r="I637" s="11">
        <f>C637-CGPA_Mean</f>
        <v/>
      </c>
      <c r="J637">
        <f>D637</f>
        <v/>
      </c>
      <c r="K637">
        <f>E637</f>
        <v/>
      </c>
      <c r="L637">
        <f>F637</f>
        <v/>
      </c>
      <c r="M637" s="11">
        <f>I637*K637</f>
        <v/>
      </c>
      <c r="N637" s="12">
        <f>LN(G637)</f>
        <v/>
      </c>
      <c r="O637" s="12">
        <f>H637*Beta_0+I637*Beta_1+J637*Beta_2+K637*Beta_3+L637*Beta_4+M637*Beta_5</f>
        <v/>
      </c>
      <c r="P637" s="12">
        <f>N637-O637</f>
        <v/>
      </c>
      <c r="Q637" s="13">
        <f>EXP(O637)*Smearing_Factor</f>
        <v/>
      </c>
    </row>
    <row r="638">
      <c r="A638" t="n">
        <v>637</v>
      </c>
      <c r="B638" t="inlineStr">
        <is>
          <t>Information and communication technologies</t>
        </is>
      </c>
      <c r="C638" s="9" t="n">
        <v>3.34</v>
      </c>
      <c r="D638" t="n">
        <v>9</v>
      </c>
      <c r="E638" t="n">
        <v>1</v>
      </c>
      <c r="F638" t="n">
        <v>1</v>
      </c>
      <c r="G638" s="10" t="n">
        <v>3150</v>
      </c>
      <c r="H638" t="n">
        <v>1</v>
      </c>
      <c r="I638" s="11">
        <f>C638-CGPA_Mean</f>
        <v/>
      </c>
      <c r="J638">
        <f>D638</f>
        <v/>
      </c>
      <c r="K638">
        <f>E638</f>
        <v/>
      </c>
      <c r="L638">
        <f>F638</f>
        <v/>
      </c>
      <c r="M638" s="11">
        <f>I638*K638</f>
        <v/>
      </c>
      <c r="N638" s="12">
        <f>LN(G638)</f>
        <v/>
      </c>
      <c r="O638" s="12">
        <f>H638*Beta_0+I638*Beta_1+J638*Beta_2+K638*Beta_3+L638*Beta_4+M638*Beta_5</f>
        <v/>
      </c>
      <c r="P638" s="12">
        <f>N638-O638</f>
        <v/>
      </c>
      <c r="Q638" s="13">
        <f>EXP(O638)*Smearing_Factor</f>
        <v/>
      </c>
    </row>
    <row r="639">
      <c r="A639" t="n">
        <v>638</v>
      </c>
      <c r="B639" t="inlineStr">
        <is>
          <t>Natural sciences, mathematics and statistics</t>
        </is>
      </c>
      <c r="C639" s="9" t="n">
        <v>3.45</v>
      </c>
      <c r="D639" t="n">
        <v>9</v>
      </c>
      <c r="E639" t="n">
        <v>1</v>
      </c>
      <c r="F639" t="n">
        <v>0</v>
      </c>
      <c r="G639" s="10" t="n">
        <v>2560</v>
      </c>
      <c r="H639" t="n">
        <v>1</v>
      </c>
      <c r="I639" s="11">
        <f>C639-CGPA_Mean</f>
        <v/>
      </c>
      <c r="J639">
        <f>D639</f>
        <v/>
      </c>
      <c r="K639">
        <f>E639</f>
        <v/>
      </c>
      <c r="L639">
        <f>F639</f>
        <v/>
      </c>
      <c r="M639" s="11">
        <f>I639*K639</f>
        <v/>
      </c>
      <c r="N639" s="12">
        <f>LN(G639)</f>
        <v/>
      </c>
      <c r="O639" s="12">
        <f>H639*Beta_0+I639*Beta_1+J639*Beta_2+K639*Beta_3+L639*Beta_4+M639*Beta_5</f>
        <v/>
      </c>
      <c r="P639" s="12">
        <f>N639-O639</f>
        <v/>
      </c>
      <c r="Q639" s="13">
        <f>EXP(O639)*Smearing_Factor</f>
        <v/>
      </c>
    </row>
    <row r="640">
      <c r="A640" t="n">
        <v>639</v>
      </c>
      <c r="B640" t="inlineStr">
        <is>
          <t>Engineering, manufacturing and construction</t>
        </is>
      </c>
      <c r="C640" s="9" t="n">
        <v>3.72</v>
      </c>
      <c r="D640" t="n">
        <v>3</v>
      </c>
      <c r="E640" t="n">
        <v>1</v>
      </c>
      <c r="F640" t="n">
        <v>1</v>
      </c>
      <c r="G640" s="10" t="n">
        <v>1890</v>
      </c>
      <c r="H640" t="n">
        <v>1</v>
      </c>
      <c r="I640" s="11">
        <f>C640-CGPA_Mean</f>
        <v/>
      </c>
      <c r="J640">
        <f>D640</f>
        <v/>
      </c>
      <c r="K640">
        <f>E640</f>
        <v/>
      </c>
      <c r="L640">
        <f>F640</f>
        <v/>
      </c>
      <c r="M640" s="11">
        <f>I640*K640</f>
        <v/>
      </c>
      <c r="N640" s="12">
        <f>LN(G640)</f>
        <v/>
      </c>
      <c r="O640" s="12">
        <f>H640*Beta_0+I640*Beta_1+J640*Beta_2+K640*Beta_3+L640*Beta_4+M640*Beta_5</f>
        <v/>
      </c>
      <c r="P640" s="12">
        <f>N640-O640</f>
        <v/>
      </c>
      <c r="Q640" s="13">
        <f>EXP(O640)*Smearing_Factor</f>
        <v/>
      </c>
    </row>
    <row r="641">
      <c r="A641" t="n">
        <v>640</v>
      </c>
      <c r="B641" t="inlineStr">
        <is>
          <t>Engineering, manufacturing and construction</t>
        </is>
      </c>
      <c r="C641" s="9" t="n">
        <v>2.54</v>
      </c>
      <c r="D641" t="n">
        <v>6</v>
      </c>
      <c r="E641" t="n">
        <v>1</v>
      </c>
      <c r="F641" t="n">
        <v>0</v>
      </c>
      <c r="G641" s="10" t="n">
        <v>3190</v>
      </c>
      <c r="H641" t="n">
        <v>1</v>
      </c>
      <c r="I641" s="11">
        <f>C641-CGPA_Mean</f>
        <v/>
      </c>
      <c r="J641">
        <f>D641</f>
        <v/>
      </c>
      <c r="K641">
        <f>E641</f>
        <v/>
      </c>
      <c r="L641">
        <f>F641</f>
        <v/>
      </c>
      <c r="M641" s="11">
        <f>I641*K641</f>
        <v/>
      </c>
      <c r="N641" s="12">
        <f>LN(G641)</f>
        <v/>
      </c>
      <c r="O641" s="12">
        <f>H641*Beta_0+I641*Beta_1+J641*Beta_2+K641*Beta_3+L641*Beta_4+M641*Beta_5</f>
        <v/>
      </c>
      <c r="P641" s="12">
        <f>N641-O641</f>
        <v/>
      </c>
      <c r="Q641" s="13">
        <f>EXP(O641)*Smearing_Factor</f>
        <v/>
      </c>
    </row>
    <row r="642">
      <c r="A642" t="n">
        <v>641</v>
      </c>
      <c r="B642" t="inlineStr">
        <is>
          <t>Business, administration and law</t>
        </is>
      </c>
      <c r="C642" s="9" t="n">
        <v>2.51</v>
      </c>
      <c r="D642" t="n">
        <v>6</v>
      </c>
      <c r="E642" t="n">
        <v>0</v>
      </c>
      <c r="F642" t="n">
        <v>0</v>
      </c>
      <c r="G642" s="10" t="n">
        <v>2240</v>
      </c>
      <c r="H642" t="n">
        <v>1</v>
      </c>
      <c r="I642" s="11">
        <f>C642-CGPA_Mean</f>
        <v/>
      </c>
      <c r="J642">
        <f>D642</f>
        <v/>
      </c>
      <c r="K642">
        <f>E642</f>
        <v/>
      </c>
      <c r="L642">
        <f>F642</f>
        <v/>
      </c>
      <c r="M642" s="11">
        <f>I642*K642</f>
        <v/>
      </c>
      <c r="N642" s="12">
        <f>LN(G642)</f>
        <v/>
      </c>
      <c r="O642" s="12">
        <f>H642*Beta_0+I642*Beta_1+J642*Beta_2+K642*Beta_3+L642*Beta_4+M642*Beta_5</f>
        <v/>
      </c>
      <c r="P642" s="12">
        <f>N642-O642</f>
        <v/>
      </c>
      <c r="Q642" s="13">
        <f>EXP(O642)*Smearing_Factor</f>
        <v/>
      </c>
    </row>
    <row r="643">
      <c r="A643" t="n">
        <v>642</v>
      </c>
      <c r="B643" t="inlineStr">
        <is>
          <t>Business, administration and law</t>
        </is>
      </c>
      <c r="C643" s="9" t="n">
        <v>2.59</v>
      </c>
      <c r="D643" t="n">
        <v>6</v>
      </c>
      <c r="E643" t="n">
        <v>0</v>
      </c>
      <c r="F643" t="n">
        <v>1</v>
      </c>
      <c r="G643" s="10" t="n">
        <v>2700</v>
      </c>
      <c r="H643" t="n">
        <v>1</v>
      </c>
      <c r="I643" s="11">
        <f>C643-CGPA_Mean</f>
        <v/>
      </c>
      <c r="J643">
        <f>D643</f>
        <v/>
      </c>
      <c r="K643">
        <f>E643</f>
        <v/>
      </c>
      <c r="L643">
        <f>F643</f>
        <v/>
      </c>
      <c r="M643" s="11">
        <f>I643*K643</f>
        <v/>
      </c>
      <c r="N643" s="12">
        <f>LN(G643)</f>
        <v/>
      </c>
      <c r="O643" s="12">
        <f>H643*Beta_0+I643*Beta_1+J643*Beta_2+K643*Beta_3+L643*Beta_4+M643*Beta_5</f>
        <v/>
      </c>
      <c r="P643" s="12">
        <f>N643-O643</f>
        <v/>
      </c>
      <c r="Q643" s="13">
        <f>EXP(O643)*Smearing_Factor</f>
        <v/>
      </c>
    </row>
    <row r="644">
      <c r="A644" t="n">
        <v>643</v>
      </c>
      <c r="B644" t="inlineStr">
        <is>
          <t>Engineering, manufacturing and construction</t>
        </is>
      </c>
      <c r="C644" s="9" t="n">
        <v>3.48</v>
      </c>
      <c r="D644" t="n">
        <v>3</v>
      </c>
      <c r="E644" t="n">
        <v>1</v>
      </c>
      <c r="F644" t="n">
        <v>0</v>
      </c>
      <c r="G644" s="10" t="n">
        <v>2340</v>
      </c>
      <c r="H644" t="n">
        <v>1</v>
      </c>
      <c r="I644" s="11">
        <f>C644-CGPA_Mean</f>
        <v/>
      </c>
      <c r="J644">
        <f>D644</f>
        <v/>
      </c>
      <c r="K644">
        <f>E644</f>
        <v/>
      </c>
      <c r="L644">
        <f>F644</f>
        <v/>
      </c>
      <c r="M644" s="11">
        <f>I644*K644</f>
        <v/>
      </c>
      <c r="N644" s="12">
        <f>LN(G644)</f>
        <v/>
      </c>
      <c r="O644" s="12">
        <f>H644*Beta_0+I644*Beta_1+J644*Beta_2+K644*Beta_3+L644*Beta_4+M644*Beta_5</f>
        <v/>
      </c>
      <c r="P644" s="12">
        <f>N644-O644</f>
        <v/>
      </c>
      <c r="Q644" s="13">
        <f>EXP(O644)*Smearing_Factor</f>
        <v/>
      </c>
    </row>
    <row r="645">
      <c r="A645" t="n">
        <v>644</v>
      </c>
      <c r="B645" t="inlineStr">
        <is>
          <t>Agriculture, forestry, fisheries and veterinary</t>
        </is>
      </c>
      <c r="C645" s="9" t="n">
        <v>2.48</v>
      </c>
      <c r="D645" t="n">
        <v>6</v>
      </c>
      <c r="E645" t="n">
        <v>0</v>
      </c>
      <c r="F645" t="n">
        <v>1</v>
      </c>
      <c r="G645" s="10" t="n">
        <v>1700</v>
      </c>
      <c r="H645" t="n">
        <v>1</v>
      </c>
      <c r="I645" s="11">
        <f>C645-CGPA_Mean</f>
        <v/>
      </c>
      <c r="J645">
        <f>D645</f>
        <v/>
      </c>
      <c r="K645">
        <f>E645</f>
        <v/>
      </c>
      <c r="L645">
        <f>F645</f>
        <v/>
      </c>
      <c r="M645" s="11">
        <f>I645*K645</f>
        <v/>
      </c>
      <c r="N645" s="12">
        <f>LN(G645)</f>
        <v/>
      </c>
      <c r="O645" s="12">
        <f>H645*Beta_0+I645*Beta_1+J645*Beta_2+K645*Beta_3+L645*Beta_4+M645*Beta_5</f>
        <v/>
      </c>
      <c r="P645" s="12">
        <f>N645-O645</f>
        <v/>
      </c>
      <c r="Q645" s="13">
        <f>EXP(O645)*Smearing_Factor</f>
        <v/>
      </c>
    </row>
    <row r="646">
      <c r="A646" t="n">
        <v>645</v>
      </c>
      <c r="B646" t="inlineStr">
        <is>
          <t>Business, administration and law</t>
        </is>
      </c>
      <c r="C646" s="9" t="n">
        <v>3.35</v>
      </c>
      <c r="D646" t="n">
        <v>6</v>
      </c>
      <c r="E646" t="n">
        <v>0</v>
      </c>
      <c r="F646" t="n">
        <v>0</v>
      </c>
      <c r="G646" s="10" t="n">
        <v>4000</v>
      </c>
      <c r="H646" t="n">
        <v>1</v>
      </c>
      <c r="I646" s="11">
        <f>C646-CGPA_Mean</f>
        <v/>
      </c>
      <c r="J646">
        <f>D646</f>
        <v/>
      </c>
      <c r="K646">
        <f>E646</f>
        <v/>
      </c>
      <c r="L646">
        <f>F646</f>
        <v/>
      </c>
      <c r="M646" s="11">
        <f>I646*K646</f>
        <v/>
      </c>
      <c r="N646" s="12">
        <f>LN(G646)</f>
        <v/>
      </c>
      <c r="O646" s="12">
        <f>H646*Beta_0+I646*Beta_1+J646*Beta_2+K646*Beta_3+L646*Beta_4+M646*Beta_5</f>
        <v/>
      </c>
      <c r="P646" s="12">
        <f>N646-O646</f>
        <v/>
      </c>
      <c r="Q646" s="13">
        <f>EXP(O646)*Smearing_Factor</f>
        <v/>
      </c>
    </row>
    <row r="647">
      <c r="A647" t="n">
        <v>646</v>
      </c>
      <c r="B647" t="inlineStr">
        <is>
          <t>Business, administration and law</t>
        </is>
      </c>
      <c r="C647" s="9" t="n">
        <v>3.77</v>
      </c>
      <c r="D647" t="n">
        <v>6</v>
      </c>
      <c r="E647" t="n">
        <v>0</v>
      </c>
      <c r="F647" t="n">
        <v>0</v>
      </c>
      <c r="G647" s="10" t="n">
        <v>2980</v>
      </c>
      <c r="H647" t="n">
        <v>1</v>
      </c>
      <c r="I647" s="11">
        <f>C647-CGPA_Mean</f>
        <v/>
      </c>
      <c r="J647">
        <f>D647</f>
        <v/>
      </c>
      <c r="K647">
        <f>E647</f>
        <v/>
      </c>
      <c r="L647">
        <f>F647</f>
        <v/>
      </c>
      <c r="M647" s="11">
        <f>I647*K647</f>
        <v/>
      </c>
      <c r="N647" s="12">
        <f>LN(G647)</f>
        <v/>
      </c>
      <c r="O647" s="12">
        <f>H647*Beta_0+I647*Beta_1+J647*Beta_2+K647*Beta_3+L647*Beta_4+M647*Beta_5</f>
        <v/>
      </c>
      <c r="P647" s="12">
        <f>N647-O647</f>
        <v/>
      </c>
      <c r="Q647" s="13">
        <f>EXP(O647)*Smearing_Factor</f>
        <v/>
      </c>
    </row>
    <row r="648">
      <c r="A648" t="n">
        <v>647</v>
      </c>
      <c r="B648" t="inlineStr">
        <is>
          <t>Education</t>
        </is>
      </c>
      <c r="C648" s="9" t="n">
        <v>3.19</v>
      </c>
      <c r="D648" t="n">
        <v>6</v>
      </c>
      <c r="E648" t="n">
        <v>0</v>
      </c>
      <c r="F648" t="n">
        <v>0</v>
      </c>
      <c r="G648" s="10" t="n">
        <v>2010</v>
      </c>
      <c r="H648" t="n">
        <v>1</v>
      </c>
      <c r="I648" s="11">
        <f>C648-CGPA_Mean</f>
        <v/>
      </c>
      <c r="J648">
        <f>D648</f>
        <v/>
      </c>
      <c r="K648">
        <f>E648</f>
        <v/>
      </c>
      <c r="L648">
        <f>F648</f>
        <v/>
      </c>
      <c r="M648" s="11">
        <f>I648*K648</f>
        <v/>
      </c>
      <c r="N648" s="12">
        <f>LN(G648)</f>
        <v/>
      </c>
      <c r="O648" s="12">
        <f>H648*Beta_0+I648*Beta_1+J648*Beta_2+K648*Beta_3+L648*Beta_4+M648*Beta_5</f>
        <v/>
      </c>
      <c r="P648" s="12">
        <f>N648-O648</f>
        <v/>
      </c>
      <c r="Q648" s="13">
        <f>EXP(O648)*Smearing_Factor</f>
        <v/>
      </c>
    </row>
    <row r="649">
      <c r="A649" t="n">
        <v>648</v>
      </c>
      <c r="B649" t="inlineStr">
        <is>
          <t>Arts and humanities</t>
        </is>
      </c>
      <c r="C649" s="9" t="n">
        <v>3.07</v>
      </c>
      <c r="D649" t="n">
        <v>6</v>
      </c>
      <c r="E649" t="n">
        <v>0</v>
      </c>
      <c r="F649" t="n">
        <v>1</v>
      </c>
      <c r="G649" s="10" t="n">
        <v>2360</v>
      </c>
      <c r="H649" t="n">
        <v>1</v>
      </c>
      <c r="I649" s="11">
        <f>C649-CGPA_Mean</f>
        <v/>
      </c>
      <c r="J649">
        <f>D649</f>
        <v/>
      </c>
      <c r="K649">
        <f>E649</f>
        <v/>
      </c>
      <c r="L649">
        <f>F649</f>
        <v/>
      </c>
      <c r="M649" s="11">
        <f>I649*K649</f>
        <v/>
      </c>
      <c r="N649" s="12">
        <f>LN(G649)</f>
        <v/>
      </c>
      <c r="O649" s="12">
        <f>H649*Beta_0+I649*Beta_1+J649*Beta_2+K649*Beta_3+L649*Beta_4+M649*Beta_5</f>
        <v/>
      </c>
      <c r="P649" s="12">
        <f>N649-O649</f>
        <v/>
      </c>
      <c r="Q649" s="13">
        <f>EXP(O649)*Smearing_Factor</f>
        <v/>
      </c>
    </row>
    <row r="650">
      <c r="A650" t="n">
        <v>649</v>
      </c>
      <c r="B650" t="inlineStr">
        <is>
          <t>Business, administration and law</t>
        </is>
      </c>
      <c r="C650" s="9" t="n">
        <v>3.49</v>
      </c>
      <c r="D650" t="n">
        <v>6</v>
      </c>
      <c r="E650" t="n">
        <v>0</v>
      </c>
      <c r="F650" t="n">
        <v>1</v>
      </c>
      <c r="G650" s="10" t="n">
        <v>4480</v>
      </c>
      <c r="H650" t="n">
        <v>1</v>
      </c>
      <c r="I650" s="11">
        <f>C650-CGPA_Mean</f>
        <v/>
      </c>
      <c r="J650">
        <f>D650</f>
        <v/>
      </c>
      <c r="K650">
        <f>E650</f>
        <v/>
      </c>
      <c r="L650">
        <f>F650</f>
        <v/>
      </c>
      <c r="M650" s="11">
        <f>I650*K650</f>
        <v/>
      </c>
      <c r="N650" s="12">
        <f>LN(G650)</f>
        <v/>
      </c>
      <c r="O650" s="12">
        <f>H650*Beta_0+I650*Beta_1+J650*Beta_2+K650*Beta_3+L650*Beta_4+M650*Beta_5</f>
        <v/>
      </c>
      <c r="P650" s="12">
        <f>N650-O650</f>
        <v/>
      </c>
      <c r="Q650" s="13">
        <f>EXP(O650)*Smearing_Factor</f>
        <v/>
      </c>
    </row>
    <row r="651">
      <c r="A651" t="n">
        <v>650</v>
      </c>
      <c r="B651" t="inlineStr">
        <is>
          <t>Engineering, manufacturing and construction</t>
        </is>
      </c>
      <c r="C651" s="9" t="n">
        <v>3.71</v>
      </c>
      <c r="D651" t="n">
        <v>6</v>
      </c>
      <c r="E651" t="n">
        <v>1</v>
      </c>
      <c r="F651" t="n">
        <v>1</v>
      </c>
      <c r="G651" s="10" t="n">
        <v>3240</v>
      </c>
      <c r="H651" t="n">
        <v>1</v>
      </c>
      <c r="I651" s="11">
        <f>C651-CGPA_Mean</f>
        <v/>
      </c>
      <c r="J651">
        <f>D651</f>
        <v/>
      </c>
      <c r="K651">
        <f>E651</f>
        <v/>
      </c>
      <c r="L651">
        <f>F651</f>
        <v/>
      </c>
      <c r="M651" s="11">
        <f>I651*K651</f>
        <v/>
      </c>
      <c r="N651" s="12">
        <f>LN(G651)</f>
        <v/>
      </c>
      <c r="O651" s="12">
        <f>H651*Beta_0+I651*Beta_1+J651*Beta_2+K651*Beta_3+L651*Beta_4+M651*Beta_5</f>
        <v/>
      </c>
      <c r="P651" s="12">
        <f>N651-O651</f>
        <v/>
      </c>
      <c r="Q651" s="13">
        <f>EXP(O651)*Smearing_Factor</f>
        <v/>
      </c>
    </row>
    <row r="652">
      <c r="A652" t="n">
        <v>651</v>
      </c>
      <c r="B652" t="inlineStr">
        <is>
          <t>Business, administration and law</t>
        </is>
      </c>
      <c r="C652" s="9" t="n">
        <v>3</v>
      </c>
      <c r="D652" t="n">
        <v>3</v>
      </c>
      <c r="E652" t="n">
        <v>0</v>
      </c>
      <c r="F652" t="n">
        <v>1</v>
      </c>
      <c r="G652" s="10" t="n">
        <v>1870</v>
      </c>
      <c r="H652" t="n">
        <v>1</v>
      </c>
      <c r="I652" s="11">
        <f>C652-CGPA_Mean</f>
        <v/>
      </c>
      <c r="J652">
        <f>D652</f>
        <v/>
      </c>
      <c r="K652">
        <f>E652</f>
        <v/>
      </c>
      <c r="L652">
        <f>F652</f>
        <v/>
      </c>
      <c r="M652" s="11">
        <f>I652*K652</f>
        <v/>
      </c>
      <c r="N652" s="12">
        <f>LN(G652)</f>
        <v/>
      </c>
      <c r="O652" s="12">
        <f>H652*Beta_0+I652*Beta_1+J652*Beta_2+K652*Beta_3+L652*Beta_4+M652*Beta_5</f>
        <v/>
      </c>
      <c r="P652" s="12">
        <f>N652-O652</f>
        <v/>
      </c>
      <c r="Q652" s="13">
        <f>EXP(O652)*Smearing_Factor</f>
        <v/>
      </c>
    </row>
    <row r="653">
      <c r="A653" t="n">
        <v>652</v>
      </c>
      <c r="B653" t="inlineStr">
        <is>
          <t>Natural sciences, mathematics and statistics</t>
        </is>
      </c>
      <c r="C653" s="9" t="n">
        <v>3.85</v>
      </c>
      <c r="D653" t="n">
        <v>3</v>
      </c>
      <c r="E653" t="n">
        <v>1</v>
      </c>
      <c r="F653" t="n">
        <v>0</v>
      </c>
      <c r="G653" s="10" t="n">
        <v>2890</v>
      </c>
      <c r="H653" t="n">
        <v>1</v>
      </c>
      <c r="I653" s="11">
        <f>C653-CGPA_Mean</f>
        <v/>
      </c>
      <c r="J653">
        <f>D653</f>
        <v/>
      </c>
      <c r="K653">
        <f>E653</f>
        <v/>
      </c>
      <c r="L653">
        <f>F653</f>
        <v/>
      </c>
      <c r="M653" s="11">
        <f>I653*K653</f>
        <v/>
      </c>
      <c r="N653" s="12">
        <f>LN(G653)</f>
        <v/>
      </c>
      <c r="O653" s="12">
        <f>H653*Beta_0+I653*Beta_1+J653*Beta_2+K653*Beta_3+L653*Beta_4+M653*Beta_5</f>
        <v/>
      </c>
      <c r="P653" s="12">
        <f>N653-O653</f>
        <v/>
      </c>
      <c r="Q653" s="13">
        <f>EXP(O653)*Smearing_Factor</f>
        <v/>
      </c>
    </row>
    <row r="654">
      <c r="A654" t="n">
        <v>653</v>
      </c>
      <c r="B654" t="inlineStr">
        <is>
          <t>Arts and humanities</t>
        </is>
      </c>
      <c r="C654" s="9" t="n">
        <v>3.68</v>
      </c>
      <c r="D654" t="n">
        <v>3</v>
      </c>
      <c r="E654" t="n">
        <v>0</v>
      </c>
      <c r="F654" t="n">
        <v>0</v>
      </c>
      <c r="G654" s="10" t="n">
        <v>590</v>
      </c>
      <c r="H654" t="n">
        <v>1</v>
      </c>
      <c r="I654" s="11">
        <f>C654-CGPA_Mean</f>
        <v/>
      </c>
      <c r="J654">
        <f>D654</f>
        <v/>
      </c>
      <c r="K654">
        <f>E654</f>
        <v/>
      </c>
      <c r="L654">
        <f>F654</f>
        <v/>
      </c>
      <c r="M654" s="11">
        <f>I654*K654</f>
        <v/>
      </c>
      <c r="N654" s="12">
        <f>LN(G654)</f>
        <v/>
      </c>
      <c r="O654" s="12">
        <f>H654*Beta_0+I654*Beta_1+J654*Beta_2+K654*Beta_3+L654*Beta_4+M654*Beta_5</f>
        <v/>
      </c>
      <c r="P654" s="12">
        <f>N654-O654</f>
        <v/>
      </c>
      <c r="Q654" s="13">
        <f>EXP(O654)*Smearing_Factor</f>
        <v/>
      </c>
    </row>
    <row r="655">
      <c r="A655" t="n">
        <v>654</v>
      </c>
      <c r="B655" t="inlineStr">
        <is>
          <t>Engineering, manufacturing and construction</t>
        </is>
      </c>
      <c r="C655" s="9" t="n">
        <v>2.37</v>
      </c>
      <c r="D655" t="n">
        <v>6</v>
      </c>
      <c r="E655" t="n">
        <v>1</v>
      </c>
      <c r="F655" t="n">
        <v>0</v>
      </c>
      <c r="G655" s="10" t="n">
        <v>1800</v>
      </c>
      <c r="H655" t="n">
        <v>1</v>
      </c>
      <c r="I655" s="11">
        <f>C655-CGPA_Mean</f>
        <v/>
      </c>
      <c r="J655">
        <f>D655</f>
        <v/>
      </c>
      <c r="K655">
        <f>E655</f>
        <v/>
      </c>
      <c r="L655">
        <f>F655</f>
        <v/>
      </c>
      <c r="M655" s="11">
        <f>I655*K655</f>
        <v/>
      </c>
      <c r="N655" s="12">
        <f>LN(G655)</f>
        <v/>
      </c>
      <c r="O655" s="12">
        <f>H655*Beta_0+I655*Beta_1+J655*Beta_2+K655*Beta_3+L655*Beta_4+M655*Beta_5</f>
        <v/>
      </c>
      <c r="P655" s="12">
        <f>N655-O655</f>
        <v/>
      </c>
      <c r="Q655" s="13">
        <f>EXP(O655)*Smearing_Factor</f>
        <v/>
      </c>
    </row>
    <row r="656">
      <c r="A656" t="n">
        <v>655</v>
      </c>
      <c r="B656" t="inlineStr">
        <is>
          <t>Education</t>
        </is>
      </c>
      <c r="C656" s="9" t="n">
        <v>2.63</v>
      </c>
      <c r="D656" t="n">
        <v>6</v>
      </c>
      <c r="E656" t="n">
        <v>0</v>
      </c>
      <c r="F656" t="n">
        <v>0</v>
      </c>
      <c r="G656" s="10" t="n">
        <v>1930</v>
      </c>
      <c r="H656" t="n">
        <v>1</v>
      </c>
      <c r="I656" s="11">
        <f>C656-CGPA_Mean</f>
        <v/>
      </c>
      <c r="J656">
        <f>D656</f>
        <v/>
      </c>
      <c r="K656">
        <f>E656</f>
        <v/>
      </c>
      <c r="L656">
        <f>F656</f>
        <v/>
      </c>
      <c r="M656" s="11">
        <f>I656*K656</f>
        <v/>
      </c>
      <c r="N656" s="12">
        <f>LN(G656)</f>
        <v/>
      </c>
      <c r="O656" s="12">
        <f>H656*Beta_0+I656*Beta_1+J656*Beta_2+K656*Beta_3+L656*Beta_4+M656*Beta_5</f>
        <v/>
      </c>
      <c r="P656" s="12">
        <f>N656-O656</f>
        <v/>
      </c>
      <c r="Q656" s="13">
        <f>EXP(O656)*Smearing_Factor</f>
        <v/>
      </c>
    </row>
    <row r="657">
      <c r="A657" t="n">
        <v>656</v>
      </c>
      <c r="B657" t="inlineStr">
        <is>
          <t>Services</t>
        </is>
      </c>
      <c r="C657" s="9" t="n">
        <v>3.15</v>
      </c>
      <c r="D657" t="n">
        <v>3</v>
      </c>
      <c r="E657" t="n">
        <v>0</v>
      </c>
      <c r="F657" t="n">
        <v>1</v>
      </c>
      <c r="G657" s="10" t="n">
        <v>10000</v>
      </c>
      <c r="H657" t="n">
        <v>1</v>
      </c>
      <c r="I657" s="11">
        <f>C657-CGPA_Mean</f>
        <v/>
      </c>
      <c r="J657">
        <f>D657</f>
        <v/>
      </c>
      <c r="K657">
        <f>E657</f>
        <v/>
      </c>
      <c r="L657">
        <f>F657</f>
        <v/>
      </c>
      <c r="M657" s="11">
        <f>I657*K657</f>
        <v/>
      </c>
      <c r="N657" s="12">
        <f>LN(G657)</f>
        <v/>
      </c>
      <c r="O657" s="12">
        <f>H657*Beta_0+I657*Beta_1+J657*Beta_2+K657*Beta_3+L657*Beta_4+M657*Beta_5</f>
        <v/>
      </c>
      <c r="P657" s="12">
        <f>N657-O657</f>
        <v/>
      </c>
      <c r="Q657" s="13">
        <f>EXP(O657)*Smearing_Factor</f>
        <v/>
      </c>
    </row>
    <row r="658">
      <c r="A658" t="n">
        <v>657</v>
      </c>
      <c r="B658" t="inlineStr">
        <is>
          <t>Engineering, manufacturing and construction</t>
        </is>
      </c>
      <c r="C658" s="9" t="n">
        <v>3.15</v>
      </c>
      <c r="D658" t="n">
        <v>9</v>
      </c>
      <c r="E658" t="n">
        <v>1</v>
      </c>
      <c r="F658" t="n">
        <v>1</v>
      </c>
      <c r="G658" s="10" t="n">
        <v>2510</v>
      </c>
      <c r="H658" t="n">
        <v>1</v>
      </c>
      <c r="I658" s="11">
        <f>C658-CGPA_Mean</f>
        <v/>
      </c>
      <c r="J658">
        <f>D658</f>
        <v/>
      </c>
      <c r="K658">
        <f>E658</f>
        <v/>
      </c>
      <c r="L658">
        <f>F658</f>
        <v/>
      </c>
      <c r="M658" s="11">
        <f>I658*K658</f>
        <v/>
      </c>
      <c r="N658" s="12">
        <f>LN(G658)</f>
        <v/>
      </c>
      <c r="O658" s="12">
        <f>H658*Beta_0+I658*Beta_1+J658*Beta_2+K658*Beta_3+L658*Beta_4+M658*Beta_5</f>
        <v/>
      </c>
      <c r="P658" s="12">
        <f>N658-O658</f>
        <v/>
      </c>
      <c r="Q658" s="13">
        <f>EXP(O658)*Smearing_Factor</f>
        <v/>
      </c>
    </row>
    <row r="659">
      <c r="A659" t="n">
        <v>658</v>
      </c>
      <c r="B659" t="inlineStr">
        <is>
          <t>Education</t>
        </is>
      </c>
      <c r="C659" s="9" t="n">
        <v>3.05</v>
      </c>
      <c r="D659" t="n">
        <v>6</v>
      </c>
      <c r="E659" t="n">
        <v>0</v>
      </c>
      <c r="F659" t="n">
        <v>1</v>
      </c>
      <c r="G659" s="10" t="n">
        <v>780</v>
      </c>
      <c r="H659" t="n">
        <v>1</v>
      </c>
      <c r="I659" s="11">
        <f>C659-CGPA_Mean</f>
        <v/>
      </c>
      <c r="J659">
        <f>D659</f>
        <v/>
      </c>
      <c r="K659">
        <f>E659</f>
        <v/>
      </c>
      <c r="L659">
        <f>F659</f>
        <v/>
      </c>
      <c r="M659" s="11">
        <f>I659*K659</f>
        <v/>
      </c>
      <c r="N659" s="12">
        <f>LN(G659)</f>
        <v/>
      </c>
      <c r="O659" s="12">
        <f>H659*Beta_0+I659*Beta_1+J659*Beta_2+K659*Beta_3+L659*Beta_4+M659*Beta_5</f>
        <v/>
      </c>
      <c r="P659" s="12">
        <f>N659-O659</f>
        <v/>
      </c>
      <c r="Q659" s="13">
        <f>EXP(O659)*Smearing_Factor</f>
        <v/>
      </c>
    </row>
    <row r="660">
      <c r="A660" t="n">
        <v>659</v>
      </c>
      <c r="B660" t="inlineStr">
        <is>
          <t>Arts and humanities</t>
        </is>
      </c>
      <c r="C660" s="9" t="n">
        <v>3.17</v>
      </c>
      <c r="D660" t="n">
        <v>6</v>
      </c>
      <c r="E660" t="n">
        <v>0</v>
      </c>
      <c r="F660" t="n">
        <v>0</v>
      </c>
      <c r="G660" s="10" t="n">
        <v>2020</v>
      </c>
      <c r="H660" t="n">
        <v>1</v>
      </c>
      <c r="I660" s="11">
        <f>C660-CGPA_Mean</f>
        <v/>
      </c>
      <c r="J660">
        <f>D660</f>
        <v/>
      </c>
      <c r="K660">
        <f>E660</f>
        <v/>
      </c>
      <c r="L660">
        <f>F660</f>
        <v/>
      </c>
      <c r="M660" s="11">
        <f>I660*K660</f>
        <v/>
      </c>
      <c r="N660" s="12">
        <f>LN(G660)</f>
        <v/>
      </c>
      <c r="O660" s="12">
        <f>H660*Beta_0+I660*Beta_1+J660*Beta_2+K660*Beta_3+L660*Beta_4+M660*Beta_5</f>
        <v/>
      </c>
      <c r="P660" s="12">
        <f>N660-O660</f>
        <v/>
      </c>
      <c r="Q660" s="13">
        <f>EXP(O660)*Smearing_Factor</f>
        <v/>
      </c>
    </row>
    <row r="661">
      <c r="A661" t="n">
        <v>660</v>
      </c>
      <c r="B661" t="inlineStr">
        <is>
          <t>Natural sciences, mathematics and statistics</t>
        </is>
      </c>
      <c r="C661" s="9" t="n">
        <v>3.18</v>
      </c>
      <c r="D661" t="n">
        <v>9</v>
      </c>
      <c r="E661" t="n">
        <v>1</v>
      </c>
      <c r="F661" t="n">
        <v>0</v>
      </c>
      <c r="G661" s="10" t="n">
        <v>2150</v>
      </c>
      <c r="H661" t="n">
        <v>1</v>
      </c>
      <c r="I661" s="11">
        <f>C661-CGPA_Mean</f>
        <v/>
      </c>
      <c r="J661">
        <f>D661</f>
        <v/>
      </c>
      <c r="K661">
        <f>E661</f>
        <v/>
      </c>
      <c r="L661">
        <f>F661</f>
        <v/>
      </c>
      <c r="M661" s="11">
        <f>I661*K661</f>
        <v/>
      </c>
      <c r="N661" s="12">
        <f>LN(G661)</f>
        <v/>
      </c>
      <c r="O661" s="12">
        <f>H661*Beta_0+I661*Beta_1+J661*Beta_2+K661*Beta_3+L661*Beta_4+M661*Beta_5</f>
        <v/>
      </c>
      <c r="P661" s="12">
        <f>N661-O661</f>
        <v/>
      </c>
      <c r="Q661" s="13">
        <f>EXP(O661)*Smearing_Factor</f>
        <v/>
      </c>
    </row>
    <row r="662">
      <c r="A662" t="n">
        <v>661</v>
      </c>
      <c r="B662" t="inlineStr">
        <is>
          <t>Social sciences, journalism and information</t>
        </is>
      </c>
      <c r="C662" s="9" t="n">
        <v>2.35</v>
      </c>
      <c r="D662" t="n">
        <v>6</v>
      </c>
      <c r="E662" t="n">
        <v>0</v>
      </c>
      <c r="F662" t="n">
        <v>0</v>
      </c>
      <c r="G662" s="10" t="n">
        <v>1680</v>
      </c>
      <c r="H662" t="n">
        <v>1</v>
      </c>
      <c r="I662" s="11">
        <f>C662-CGPA_Mean</f>
        <v/>
      </c>
      <c r="J662">
        <f>D662</f>
        <v/>
      </c>
      <c r="K662">
        <f>E662</f>
        <v/>
      </c>
      <c r="L662">
        <f>F662</f>
        <v/>
      </c>
      <c r="M662" s="11">
        <f>I662*K662</f>
        <v/>
      </c>
      <c r="N662" s="12">
        <f>LN(G662)</f>
        <v/>
      </c>
      <c r="O662" s="12">
        <f>H662*Beta_0+I662*Beta_1+J662*Beta_2+K662*Beta_3+L662*Beta_4+M662*Beta_5</f>
        <v/>
      </c>
      <c r="P662" s="12">
        <f>N662-O662</f>
        <v/>
      </c>
      <c r="Q662" s="13">
        <f>EXP(O662)*Smearing_Factor</f>
        <v/>
      </c>
    </row>
    <row r="663">
      <c r="A663" t="n">
        <v>662</v>
      </c>
      <c r="B663" t="inlineStr">
        <is>
          <t>Business, administration and law</t>
        </is>
      </c>
      <c r="C663" s="9" t="n">
        <v>3.43</v>
      </c>
      <c r="D663" t="n">
        <v>6</v>
      </c>
      <c r="E663" t="n">
        <v>0</v>
      </c>
      <c r="F663" t="n">
        <v>0</v>
      </c>
      <c r="G663" s="10" t="n">
        <v>9500</v>
      </c>
      <c r="H663" t="n">
        <v>1</v>
      </c>
      <c r="I663" s="11">
        <f>C663-CGPA_Mean</f>
        <v/>
      </c>
      <c r="J663">
        <f>D663</f>
        <v/>
      </c>
      <c r="K663">
        <f>E663</f>
        <v/>
      </c>
      <c r="L663">
        <f>F663</f>
        <v/>
      </c>
      <c r="M663" s="11">
        <f>I663*K663</f>
        <v/>
      </c>
      <c r="N663" s="12">
        <f>LN(G663)</f>
        <v/>
      </c>
      <c r="O663" s="12">
        <f>H663*Beta_0+I663*Beta_1+J663*Beta_2+K663*Beta_3+L663*Beta_4+M663*Beta_5</f>
        <v/>
      </c>
      <c r="P663" s="12">
        <f>N663-O663</f>
        <v/>
      </c>
      <c r="Q663" s="13">
        <f>EXP(O663)*Smearing_Factor</f>
        <v/>
      </c>
    </row>
    <row r="664">
      <c r="A664" t="n">
        <v>663</v>
      </c>
      <c r="B664" t="inlineStr">
        <is>
          <t>Health and welfare</t>
        </is>
      </c>
      <c r="C664" s="9" t="n">
        <v>3.66</v>
      </c>
      <c r="D664" t="n">
        <v>9</v>
      </c>
      <c r="E664" t="n">
        <v>0</v>
      </c>
      <c r="F664" t="n">
        <v>1</v>
      </c>
      <c r="G664" s="10" t="n">
        <v>2890</v>
      </c>
      <c r="H664" t="n">
        <v>1</v>
      </c>
      <c r="I664" s="11">
        <f>C664-CGPA_Mean</f>
        <v/>
      </c>
      <c r="J664">
        <f>D664</f>
        <v/>
      </c>
      <c r="K664">
        <f>E664</f>
        <v/>
      </c>
      <c r="L664">
        <f>F664</f>
        <v/>
      </c>
      <c r="M664" s="11">
        <f>I664*K664</f>
        <v/>
      </c>
      <c r="N664" s="12">
        <f>LN(G664)</f>
        <v/>
      </c>
      <c r="O664" s="12">
        <f>H664*Beta_0+I664*Beta_1+J664*Beta_2+K664*Beta_3+L664*Beta_4+M664*Beta_5</f>
        <v/>
      </c>
      <c r="P664" s="12">
        <f>N664-O664</f>
        <v/>
      </c>
      <c r="Q664" s="13">
        <f>EXP(O664)*Smearing_Factor</f>
        <v/>
      </c>
    </row>
    <row r="665">
      <c r="A665" t="n">
        <v>664</v>
      </c>
      <c r="B665" t="inlineStr">
        <is>
          <t>Natural sciences, mathematics and statistics</t>
        </is>
      </c>
      <c r="C665" s="9" t="n">
        <v>3.34</v>
      </c>
      <c r="D665" t="n">
        <v>3</v>
      </c>
      <c r="E665" t="n">
        <v>1</v>
      </c>
      <c r="F665" t="n">
        <v>0</v>
      </c>
      <c r="G665" s="10" t="n">
        <v>1730</v>
      </c>
      <c r="H665" t="n">
        <v>1</v>
      </c>
      <c r="I665" s="11">
        <f>C665-CGPA_Mean</f>
        <v/>
      </c>
      <c r="J665">
        <f>D665</f>
        <v/>
      </c>
      <c r="K665">
        <f>E665</f>
        <v/>
      </c>
      <c r="L665">
        <f>F665</f>
        <v/>
      </c>
      <c r="M665" s="11">
        <f>I665*K665</f>
        <v/>
      </c>
      <c r="N665" s="12">
        <f>LN(G665)</f>
        <v/>
      </c>
      <c r="O665" s="12">
        <f>H665*Beta_0+I665*Beta_1+J665*Beta_2+K665*Beta_3+L665*Beta_4+M665*Beta_5</f>
        <v/>
      </c>
      <c r="P665" s="12">
        <f>N665-O665</f>
        <v/>
      </c>
      <c r="Q665" s="13">
        <f>EXP(O665)*Smearing_Factor</f>
        <v/>
      </c>
    </row>
    <row r="666">
      <c r="A666" t="n">
        <v>665</v>
      </c>
      <c r="B666" t="inlineStr">
        <is>
          <t>Education</t>
        </is>
      </c>
      <c r="C666" s="9" t="n">
        <v>3.11</v>
      </c>
      <c r="D666" t="n">
        <v>6</v>
      </c>
      <c r="E666" t="n">
        <v>0</v>
      </c>
      <c r="F666" t="n">
        <v>0</v>
      </c>
      <c r="G666" s="10" t="n">
        <v>740</v>
      </c>
      <c r="H666" t="n">
        <v>1</v>
      </c>
      <c r="I666" s="11">
        <f>C666-CGPA_Mean</f>
        <v/>
      </c>
      <c r="J666">
        <f>D666</f>
        <v/>
      </c>
      <c r="K666">
        <f>E666</f>
        <v/>
      </c>
      <c r="L666">
        <f>F666</f>
        <v/>
      </c>
      <c r="M666" s="11">
        <f>I666*K666</f>
        <v/>
      </c>
      <c r="N666" s="12">
        <f>LN(G666)</f>
        <v/>
      </c>
      <c r="O666" s="12">
        <f>H666*Beta_0+I666*Beta_1+J666*Beta_2+K666*Beta_3+L666*Beta_4+M666*Beta_5</f>
        <v/>
      </c>
      <c r="P666" s="12">
        <f>N666-O666</f>
        <v/>
      </c>
      <c r="Q666" s="13">
        <f>EXP(O666)*Smearing_Factor</f>
        <v/>
      </c>
    </row>
    <row r="667">
      <c r="A667" t="n">
        <v>666</v>
      </c>
      <c r="B667" t="inlineStr">
        <is>
          <t>Business, administration and law</t>
        </is>
      </c>
      <c r="C667" s="9" t="n">
        <v>3.75</v>
      </c>
      <c r="D667" t="n">
        <v>6</v>
      </c>
      <c r="E667" t="n">
        <v>0</v>
      </c>
      <c r="F667" t="n">
        <v>0</v>
      </c>
      <c r="G667" s="10" t="n">
        <v>3620</v>
      </c>
      <c r="H667" t="n">
        <v>1</v>
      </c>
      <c r="I667" s="11">
        <f>C667-CGPA_Mean</f>
        <v/>
      </c>
      <c r="J667">
        <f>D667</f>
        <v/>
      </c>
      <c r="K667">
        <f>E667</f>
        <v/>
      </c>
      <c r="L667">
        <f>F667</f>
        <v/>
      </c>
      <c r="M667" s="11">
        <f>I667*K667</f>
        <v/>
      </c>
      <c r="N667" s="12">
        <f>LN(G667)</f>
        <v/>
      </c>
      <c r="O667" s="12">
        <f>H667*Beta_0+I667*Beta_1+J667*Beta_2+K667*Beta_3+L667*Beta_4+M667*Beta_5</f>
        <v/>
      </c>
      <c r="P667" s="12">
        <f>N667-O667</f>
        <v/>
      </c>
      <c r="Q667" s="13">
        <f>EXP(O667)*Smearing_Factor</f>
        <v/>
      </c>
    </row>
    <row r="668">
      <c r="A668" t="n">
        <v>667</v>
      </c>
      <c r="B668" t="inlineStr">
        <is>
          <t>Services</t>
        </is>
      </c>
      <c r="C668" s="9" t="n">
        <v>3.2</v>
      </c>
      <c r="D668" t="n">
        <v>6</v>
      </c>
      <c r="E668" t="n">
        <v>0</v>
      </c>
      <c r="F668" t="n">
        <v>1</v>
      </c>
      <c r="G668" s="10" t="n">
        <v>2410</v>
      </c>
      <c r="H668" t="n">
        <v>1</v>
      </c>
      <c r="I668" s="11">
        <f>C668-CGPA_Mean</f>
        <v/>
      </c>
      <c r="J668">
        <f>D668</f>
        <v/>
      </c>
      <c r="K668">
        <f>E668</f>
        <v/>
      </c>
      <c r="L668">
        <f>F668</f>
        <v/>
      </c>
      <c r="M668" s="11">
        <f>I668*K668</f>
        <v/>
      </c>
      <c r="N668" s="12">
        <f>LN(G668)</f>
        <v/>
      </c>
      <c r="O668" s="12">
        <f>H668*Beta_0+I668*Beta_1+J668*Beta_2+K668*Beta_3+L668*Beta_4+M668*Beta_5</f>
        <v/>
      </c>
      <c r="P668" s="12">
        <f>N668-O668</f>
        <v/>
      </c>
      <c r="Q668" s="13">
        <f>EXP(O668)*Smearing_Factor</f>
        <v/>
      </c>
    </row>
    <row r="669">
      <c r="A669" t="n">
        <v>668</v>
      </c>
      <c r="B669" t="inlineStr">
        <is>
          <t>Social sciences, journalism and information</t>
        </is>
      </c>
      <c r="C669" s="9" t="n">
        <v>3.23</v>
      </c>
      <c r="D669" t="n">
        <v>9</v>
      </c>
      <c r="E669" t="n">
        <v>0</v>
      </c>
      <c r="F669" t="n">
        <v>0</v>
      </c>
      <c r="G669" s="10" t="n">
        <v>3080</v>
      </c>
      <c r="H669" t="n">
        <v>1</v>
      </c>
      <c r="I669" s="11">
        <f>C669-CGPA_Mean</f>
        <v/>
      </c>
      <c r="J669">
        <f>D669</f>
        <v/>
      </c>
      <c r="K669">
        <f>E669</f>
        <v/>
      </c>
      <c r="L669">
        <f>F669</f>
        <v/>
      </c>
      <c r="M669" s="11">
        <f>I669*K669</f>
        <v/>
      </c>
      <c r="N669" s="12">
        <f>LN(G669)</f>
        <v/>
      </c>
      <c r="O669" s="12">
        <f>H669*Beta_0+I669*Beta_1+J669*Beta_2+K669*Beta_3+L669*Beta_4+M669*Beta_5</f>
        <v/>
      </c>
      <c r="P669" s="12">
        <f>N669-O669</f>
        <v/>
      </c>
      <c r="Q669" s="13">
        <f>EXP(O669)*Smearing_Factor</f>
        <v/>
      </c>
    </row>
    <row r="670">
      <c r="A670" t="n">
        <v>669</v>
      </c>
      <c r="B670" t="inlineStr">
        <is>
          <t>Natural sciences, mathematics and statistics</t>
        </is>
      </c>
      <c r="C670" s="9" t="n">
        <v>3.14</v>
      </c>
      <c r="D670" t="n">
        <v>3</v>
      </c>
      <c r="E670" t="n">
        <v>1</v>
      </c>
      <c r="F670" t="n">
        <v>1</v>
      </c>
      <c r="G670" s="10" t="n">
        <v>3960</v>
      </c>
      <c r="H670" t="n">
        <v>1</v>
      </c>
      <c r="I670" s="11">
        <f>C670-CGPA_Mean</f>
        <v/>
      </c>
      <c r="J670">
        <f>D670</f>
        <v/>
      </c>
      <c r="K670">
        <f>E670</f>
        <v/>
      </c>
      <c r="L670">
        <f>F670</f>
        <v/>
      </c>
      <c r="M670" s="11">
        <f>I670*K670</f>
        <v/>
      </c>
      <c r="N670" s="12">
        <f>LN(G670)</f>
        <v/>
      </c>
      <c r="O670" s="12">
        <f>H670*Beta_0+I670*Beta_1+J670*Beta_2+K670*Beta_3+L670*Beta_4+M670*Beta_5</f>
        <v/>
      </c>
      <c r="P670" s="12">
        <f>N670-O670</f>
        <v/>
      </c>
      <c r="Q670" s="13">
        <f>EXP(O670)*Smearing_Factor</f>
        <v/>
      </c>
    </row>
    <row r="671">
      <c r="A671" t="n">
        <v>670</v>
      </c>
      <c r="B671" t="inlineStr">
        <is>
          <t>Business, administration and law</t>
        </is>
      </c>
      <c r="C671" s="9" t="n">
        <v>2.65</v>
      </c>
      <c r="D671" t="n">
        <v>9</v>
      </c>
      <c r="E671" t="n">
        <v>0</v>
      </c>
      <c r="F671" t="n">
        <v>0</v>
      </c>
      <c r="G671" s="10" t="n">
        <v>2250</v>
      </c>
      <c r="H671" t="n">
        <v>1</v>
      </c>
      <c r="I671" s="11">
        <f>C671-CGPA_Mean</f>
        <v/>
      </c>
      <c r="J671">
        <f>D671</f>
        <v/>
      </c>
      <c r="K671">
        <f>E671</f>
        <v/>
      </c>
      <c r="L671">
        <f>F671</f>
        <v/>
      </c>
      <c r="M671" s="11">
        <f>I671*K671</f>
        <v/>
      </c>
      <c r="N671" s="12">
        <f>LN(G671)</f>
        <v/>
      </c>
      <c r="O671" s="12">
        <f>H671*Beta_0+I671*Beta_1+J671*Beta_2+K671*Beta_3+L671*Beta_4+M671*Beta_5</f>
        <v/>
      </c>
      <c r="P671" s="12">
        <f>N671-O671</f>
        <v/>
      </c>
      <c r="Q671" s="13">
        <f>EXP(O671)*Smearing_Factor</f>
        <v/>
      </c>
    </row>
    <row r="672">
      <c r="A672" t="n">
        <v>671</v>
      </c>
      <c r="B672" t="inlineStr">
        <is>
          <t>Information and communication technologies</t>
        </is>
      </c>
      <c r="C672" s="9" t="n">
        <v>2.84</v>
      </c>
      <c r="D672" t="n">
        <v>6</v>
      </c>
      <c r="E672" t="n">
        <v>1</v>
      </c>
      <c r="F672" t="n">
        <v>1</v>
      </c>
      <c r="G672" s="10" t="n">
        <v>3420</v>
      </c>
      <c r="H672" t="n">
        <v>1</v>
      </c>
      <c r="I672" s="11">
        <f>C672-CGPA_Mean</f>
        <v/>
      </c>
      <c r="J672">
        <f>D672</f>
        <v/>
      </c>
      <c r="K672">
        <f>E672</f>
        <v/>
      </c>
      <c r="L672">
        <f>F672</f>
        <v/>
      </c>
      <c r="M672" s="11">
        <f>I672*K672</f>
        <v/>
      </c>
      <c r="N672" s="12">
        <f>LN(G672)</f>
        <v/>
      </c>
      <c r="O672" s="12">
        <f>H672*Beta_0+I672*Beta_1+J672*Beta_2+K672*Beta_3+L672*Beta_4+M672*Beta_5</f>
        <v/>
      </c>
      <c r="P672" s="12">
        <f>N672-O672</f>
        <v/>
      </c>
      <c r="Q672" s="13">
        <f>EXP(O672)*Smearing_Factor</f>
        <v/>
      </c>
    </row>
    <row r="673">
      <c r="A673" t="n">
        <v>672</v>
      </c>
      <c r="B673" t="inlineStr">
        <is>
          <t>Engineering, manufacturing and construction</t>
        </is>
      </c>
      <c r="C673" s="9" t="n">
        <v>3.18</v>
      </c>
      <c r="D673" t="n">
        <v>9</v>
      </c>
      <c r="E673" t="n">
        <v>1</v>
      </c>
      <c r="F673" t="n">
        <v>0</v>
      </c>
      <c r="G673" s="10" t="n">
        <v>3990</v>
      </c>
      <c r="H673" t="n">
        <v>1</v>
      </c>
      <c r="I673" s="11">
        <f>C673-CGPA_Mean</f>
        <v/>
      </c>
      <c r="J673">
        <f>D673</f>
        <v/>
      </c>
      <c r="K673">
        <f>E673</f>
        <v/>
      </c>
      <c r="L673">
        <f>F673</f>
        <v/>
      </c>
      <c r="M673" s="11">
        <f>I673*K673</f>
        <v/>
      </c>
      <c r="N673" s="12">
        <f>LN(G673)</f>
        <v/>
      </c>
      <c r="O673" s="12">
        <f>H673*Beta_0+I673*Beta_1+J673*Beta_2+K673*Beta_3+L673*Beta_4+M673*Beta_5</f>
        <v/>
      </c>
      <c r="P673" s="12">
        <f>N673-O673</f>
        <v/>
      </c>
      <c r="Q673" s="13">
        <f>EXP(O673)*Smearing_Factor</f>
        <v/>
      </c>
    </row>
    <row r="674">
      <c r="A674" t="n">
        <v>673</v>
      </c>
      <c r="B674" t="inlineStr">
        <is>
          <t>Business, administration and law</t>
        </is>
      </c>
      <c r="C674" s="9" t="n">
        <v>2.85</v>
      </c>
      <c r="D674" t="n">
        <v>6</v>
      </c>
      <c r="E674" t="n">
        <v>0</v>
      </c>
      <c r="F674" t="n">
        <v>1</v>
      </c>
      <c r="G674" s="10" t="n">
        <v>2880</v>
      </c>
      <c r="H674" t="n">
        <v>1</v>
      </c>
      <c r="I674" s="11">
        <f>C674-CGPA_Mean</f>
        <v/>
      </c>
      <c r="J674">
        <f>D674</f>
        <v/>
      </c>
      <c r="K674">
        <f>E674</f>
        <v/>
      </c>
      <c r="L674">
        <f>F674</f>
        <v/>
      </c>
      <c r="M674" s="11">
        <f>I674*K674</f>
        <v/>
      </c>
      <c r="N674" s="12">
        <f>LN(G674)</f>
        <v/>
      </c>
      <c r="O674" s="12">
        <f>H674*Beta_0+I674*Beta_1+J674*Beta_2+K674*Beta_3+L674*Beta_4+M674*Beta_5</f>
        <v/>
      </c>
      <c r="P674" s="12">
        <f>N674-O674</f>
        <v/>
      </c>
      <c r="Q674" s="13">
        <f>EXP(O674)*Smearing_Factor</f>
        <v/>
      </c>
    </row>
    <row r="675">
      <c r="A675" t="n">
        <v>674</v>
      </c>
      <c r="B675" t="inlineStr">
        <is>
          <t>Engineering, manufacturing and construction</t>
        </is>
      </c>
      <c r="C675" s="9" t="n">
        <v>3.59</v>
      </c>
      <c r="D675" t="n">
        <v>6</v>
      </c>
      <c r="E675" t="n">
        <v>1</v>
      </c>
      <c r="F675" t="n">
        <v>0</v>
      </c>
      <c r="G675" s="10" t="n">
        <v>3290</v>
      </c>
      <c r="H675" t="n">
        <v>1</v>
      </c>
      <c r="I675" s="11">
        <f>C675-CGPA_Mean</f>
        <v/>
      </c>
      <c r="J675">
        <f>D675</f>
        <v/>
      </c>
      <c r="K675">
        <f>E675</f>
        <v/>
      </c>
      <c r="L675">
        <f>F675</f>
        <v/>
      </c>
      <c r="M675" s="11">
        <f>I675*K675</f>
        <v/>
      </c>
      <c r="N675" s="12">
        <f>LN(G675)</f>
        <v/>
      </c>
      <c r="O675" s="12">
        <f>H675*Beta_0+I675*Beta_1+J675*Beta_2+K675*Beta_3+L675*Beta_4+M675*Beta_5</f>
        <v/>
      </c>
      <c r="P675" s="12">
        <f>N675-O675</f>
        <v/>
      </c>
      <c r="Q675" s="13">
        <f>EXP(O675)*Smearing_Factor</f>
        <v/>
      </c>
    </row>
    <row r="676">
      <c r="A676" t="n">
        <v>675</v>
      </c>
      <c r="B676" t="inlineStr">
        <is>
          <t>Business, administration and law</t>
        </is>
      </c>
      <c r="C676" s="9" t="n">
        <v>3.37</v>
      </c>
      <c r="D676" t="n">
        <v>6</v>
      </c>
      <c r="E676" t="n">
        <v>0</v>
      </c>
      <c r="F676" t="n">
        <v>0</v>
      </c>
      <c r="G676" s="10" t="n">
        <v>1560</v>
      </c>
      <c r="H676" t="n">
        <v>1</v>
      </c>
      <c r="I676" s="11">
        <f>C676-CGPA_Mean</f>
        <v/>
      </c>
      <c r="J676">
        <f>D676</f>
        <v/>
      </c>
      <c r="K676">
        <f>E676</f>
        <v/>
      </c>
      <c r="L676">
        <f>F676</f>
        <v/>
      </c>
      <c r="M676" s="11">
        <f>I676*K676</f>
        <v/>
      </c>
      <c r="N676" s="12">
        <f>LN(G676)</f>
        <v/>
      </c>
      <c r="O676" s="12">
        <f>H676*Beta_0+I676*Beta_1+J676*Beta_2+K676*Beta_3+L676*Beta_4+M676*Beta_5</f>
        <v/>
      </c>
      <c r="P676" s="12">
        <f>N676-O676</f>
        <v/>
      </c>
      <c r="Q676" s="13">
        <f>EXP(O676)*Smearing_Factor</f>
        <v/>
      </c>
    </row>
    <row r="677">
      <c r="A677" t="n">
        <v>676</v>
      </c>
      <c r="B677" t="inlineStr">
        <is>
          <t>Natural sciences, mathematics and statistics</t>
        </is>
      </c>
      <c r="C677" s="9" t="n">
        <v>2.59</v>
      </c>
      <c r="D677" t="n">
        <v>6</v>
      </c>
      <c r="E677" t="n">
        <v>1</v>
      </c>
      <c r="F677" t="n">
        <v>0</v>
      </c>
      <c r="G677" s="10" t="n">
        <v>1700</v>
      </c>
      <c r="H677" t="n">
        <v>1</v>
      </c>
      <c r="I677" s="11">
        <f>C677-CGPA_Mean</f>
        <v/>
      </c>
      <c r="J677">
        <f>D677</f>
        <v/>
      </c>
      <c r="K677">
        <f>E677</f>
        <v/>
      </c>
      <c r="L677">
        <f>F677</f>
        <v/>
      </c>
      <c r="M677" s="11">
        <f>I677*K677</f>
        <v/>
      </c>
      <c r="N677" s="12">
        <f>LN(G677)</f>
        <v/>
      </c>
      <c r="O677" s="12">
        <f>H677*Beta_0+I677*Beta_1+J677*Beta_2+K677*Beta_3+L677*Beta_4+M677*Beta_5</f>
        <v/>
      </c>
      <c r="P677" s="12">
        <f>N677-O677</f>
        <v/>
      </c>
      <c r="Q677" s="13">
        <f>EXP(O677)*Smearing_Factor</f>
        <v/>
      </c>
    </row>
    <row r="678">
      <c r="A678" t="n">
        <v>677</v>
      </c>
      <c r="B678" t="inlineStr">
        <is>
          <t>Arts and humanities</t>
        </is>
      </c>
      <c r="C678" s="9" t="n">
        <v>3.96</v>
      </c>
      <c r="D678" t="n">
        <v>3</v>
      </c>
      <c r="E678" t="n">
        <v>0</v>
      </c>
      <c r="F678" t="n">
        <v>0</v>
      </c>
      <c r="G678" s="10" t="n">
        <v>1830</v>
      </c>
      <c r="H678" t="n">
        <v>1</v>
      </c>
      <c r="I678" s="11">
        <f>C678-CGPA_Mean</f>
        <v/>
      </c>
      <c r="J678">
        <f>D678</f>
        <v/>
      </c>
      <c r="K678">
        <f>E678</f>
        <v/>
      </c>
      <c r="L678">
        <f>F678</f>
        <v/>
      </c>
      <c r="M678" s="11">
        <f>I678*K678</f>
        <v/>
      </c>
      <c r="N678" s="12">
        <f>LN(G678)</f>
        <v/>
      </c>
      <c r="O678" s="12">
        <f>H678*Beta_0+I678*Beta_1+J678*Beta_2+K678*Beta_3+L678*Beta_4+M678*Beta_5</f>
        <v/>
      </c>
      <c r="P678" s="12">
        <f>N678-O678</f>
        <v/>
      </c>
      <c r="Q678" s="13">
        <f>EXP(O678)*Smearing_Factor</f>
        <v/>
      </c>
    </row>
    <row r="679">
      <c r="A679" t="n">
        <v>678</v>
      </c>
      <c r="B679" t="inlineStr">
        <is>
          <t>Health and welfare</t>
        </is>
      </c>
      <c r="C679" s="9" t="n">
        <v>2.44</v>
      </c>
      <c r="D679" t="n">
        <v>6</v>
      </c>
      <c r="E679" t="n">
        <v>0</v>
      </c>
      <c r="F679" t="n">
        <v>0</v>
      </c>
      <c r="G679" s="10" t="n">
        <v>2250</v>
      </c>
      <c r="H679" t="n">
        <v>1</v>
      </c>
      <c r="I679" s="11">
        <f>C679-CGPA_Mean</f>
        <v/>
      </c>
      <c r="J679">
        <f>D679</f>
        <v/>
      </c>
      <c r="K679">
        <f>E679</f>
        <v/>
      </c>
      <c r="L679">
        <f>F679</f>
        <v/>
      </c>
      <c r="M679" s="11">
        <f>I679*K679</f>
        <v/>
      </c>
      <c r="N679" s="12">
        <f>LN(G679)</f>
        <v/>
      </c>
      <c r="O679" s="12">
        <f>H679*Beta_0+I679*Beta_1+J679*Beta_2+K679*Beta_3+L679*Beta_4+M679*Beta_5</f>
        <v/>
      </c>
      <c r="P679" s="12">
        <f>N679-O679</f>
        <v/>
      </c>
      <c r="Q679" s="13">
        <f>EXP(O679)*Smearing_Factor</f>
        <v/>
      </c>
    </row>
    <row r="680">
      <c r="A680" t="n">
        <v>679</v>
      </c>
      <c r="B680" t="inlineStr">
        <is>
          <t>Business, administration and law</t>
        </is>
      </c>
      <c r="C680" s="9" t="n">
        <v>3.43</v>
      </c>
      <c r="D680" t="n">
        <v>3</v>
      </c>
      <c r="E680" t="n">
        <v>0</v>
      </c>
      <c r="F680" t="n">
        <v>1</v>
      </c>
      <c r="G680" s="10" t="n">
        <v>3470</v>
      </c>
      <c r="H680" t="n">
        <v>1</v>
      </c>
      <c r="I680" s="11">
        <f>C680-CGPA_Mean</f>
        <v/>
      </c>
      <c r="J680">
        <f>D680</f>
        <v/>
      </c>
      <c r="K680">
        <f>E680</f>
        <v/>
      </c>
      <c r="L680">
        <f>F680</f>
        <v/>
      </c>
      <c r="M680" s="11">
        <f>I680*K680</f>
        <v/>
      </c>
      <c r="N680" s="12">
        <f>LN(G680)</f>
        <v/>
      </c>
      <c r="O680" s="12">
        <f>H680*Beta_0+I680*Beta_1+J680*Beta_2+K680*Beta_3+L680*Beta_4+M680*Beta_5</f>
        <v/>
      </c>
      <c r="P680" s="12">
        <f>N680-O680</f>
        <v/>
      </c>
      <c r="Q680" s="13">
        <f>EXP(O680)*Smearing_Factor</f>
        <v/>
      </c>
    </row>
    <row r="681">
      <c r="A681" t="n">
        <v>680</v>
      </c>
      <c r="B681" t="inlineStr">
        <is>
          <t>Natural sciences, mathematics and statistics</t>
        </is>
      </c>
      <c r="C681" s="9" t="n">
        <v>3.5</v>
      </c>
      <c r="D681" t="n">
        <v>3</v>
      </c>
      <c r="E681" t="n">
        <v>1</v>
      </c>
      <c r="F681" t="n">
        <v>0</v>
      </c>
      <c r="G681" s="10" t="n">
        <v>2390</v>
      </c>
      <c r="H681" t="n">
        <v>1</v>
      </c>
      <c r="I681" s="11">
        <f>C681-CGPA_Mean</f>
        <v/>
      </c>
      <c r="J681">
        <f>D681</f>
        <v/>
      </c>
      <c r="K681">
        <f>E681</f>
        <v/>
      </c>
      <c r="L681">
        <f>F681</f>
        <v/>
      </c>
      <c r="M681" s="11">
        <f>I681*K681</f>
        <v/>
      </c>
      <c r="N681" s="12">
        <f>LN(G681)</f>
        <v/>
      </c>
      <c r="O681" s="12">
        <f>H681*Beta_0+I681*Beta_1+J681*Beta_2+K681*Beta_3+L681*Beta_4+M681*Beta_5</f>
        <v/>
      </c>
      <c r="P681" s="12">
        <f>N681-O681</f>
        <v/>
      </c>
      <c r="Q681" s="13">
        <f>EXP(O681)*Smearing_Factor</f>
        <v/>
      </c>
    </row>
    <row r="682">
      <c r="A682" t="n">
        <v>681</v>
      </c>
      <c r="B682" t="inlineStr">
        <is>
          <t>Social sciences, journalism and information</t>
        </is>
      </c>
      <c r="C682" s="9" t="n">
        <v>3.27</v>
      </c>
      <c r="D682" t="n">
        <v>6</v>
      </c>
      <c r="E682" t="n">
        <v>0</v>
      </c>
      <c r="F682" t="n">
        <v>0</v>
      </c>
      <c r="G682" s="10" t="n">
        <v>9680</v>
      </c>
      <c r="H682" t="n">
        <v>1</v>
      </c>
      <c r="I682" s="11">
        <f>C682-CGPA_Mean</f>
        <v/>
      </c>
      <c r="J682">
        <f>D682</f>
        <v/>
      </c>
      <c r="K682">
        <f>E682</f>
        <v/>
      </c>
      <c r="L682">
        <f>F682</f>
        <v/>
      </c>
      <c r="M682" s="11">
        <f>I682*K682</f>
        <v/>
      </c>
      <c r="N682" s="12">
        <f>LN(G682)</f>
        <v/>
      </c>
      <c r="O682" s="12">
        <f>H682*Beta_0+I682*Beta_1+J682*Beta_2+K682*Beta_3+L682*Beta_4+M682*Beta_5</f>
        <v/>
      </c>
      <c r="P682" s="12">
        <f>N682-O682</f>
        <v/>
      </c>
      <c r="Q682" s="13">
        <f>EXP(O682)*Smearing_Factor</f>
        <v/>
      </c>
    </row>
    <row r="683">
      <c r="A683" t="n">
        <v>682</v>
      </c>
      <c r="B683" t="inlineStr">
        <is>
          <t>Business, administration and law</t>
        </is>
      </c>
      <c r="C683" s="9" t="n">
        <v>3.55</v>
      </c>
      <c r="D683" t="n">
        <v>9</v>
      </c>
      <c r="E683" t="n">
        <v>0</v>
      </c>
      <c r="F683" t="n">
        <v>0</v>
      </c>
      <c r="G683" s="10" t="n">
        <v>2380</v>
      </c>
      <c r="H683" t="n">
        <v>1</v>
      </c>
      <c r="I683" s="11">
        <f>C683-CGPA_Mean</f>
        <v/>
      </c>
      <c r="J683">
        <f>D683</f>
        <v/>
      </c>
      <c r="K683">
        <f>E683</f>
        <v/>
      </c>
      <c r="L683">
        <f>F683</f>
        <v/>
      </c>
      <c r="M683" s="11">
        <f>I683*K683</f>
        <v/>
      </c>
      <c r="N683" s="12">
        <f>LN(G683)</f>
        <v/>
      </c>
      <c r="O683" s="12">
        <f>H683*Beta_0+I683*Beta_1+J683*Beta_2+K683*Beta_3+L683*Beta_4+M683*Beta_5</f>
        <v/>
      </c>
      <c r="P683" s="12">
        <f>N683-O683</f>
        <v/>
      </c>
      <c r="Q683" s="13">
        <f>EXP(O683)*Smearing_Factor</f>
        <v/>
      </c>
    </row>
    <row r="684">
      <c r="A684" t="n">
        <v>683</v>
      </c>
      <c r="B684" t="inlineStr">
        <is>
          <t>Social sciences, journalism and information</t>
        </is>
      </c>
      <c r="C684" s="9" t="n">
        <v>2.98</v>
      </c>
      <c r="D684" t="n">
        <v>6</v>
      </c>
      <c r="E684" t="n">
        <v>0</v>
      </c>
      <c r="F684" t="n">
        <v>0</v>
      </c>
      <c r="G684" s="10" t="n">
        <v>2010</v>
      </c>
      <c r="H684" t="n">
        <v>1</v>
      </c>
      <c r="I684" s="11">
        <f>C684-CGPA_Mean</f>
        <v/>
      </c>
      <c r="J684">
        <f>D684</f>
        <v/>
      </c>
      <c r="K684">
        <f>E684</f>
        <v/>
      </c>
      <c r="L684">
        <f>F684</f>
        <v/>
      </c>
      <c r="M684" s="11">
        <f>I684*K684</f>
        <v/>
      </c>
      <c r="N684" s="12">
        <f>LN(G684)</f>
        <v/>
      </c>
      <c r="O684" s="12">
        <f>H684*Beta_0+I684*Beta_1+J684*Beta_2+K684*Beta_3+L684*Beta_4+M684*Beta_5</f>
        <v/>
      </c>
      <c r="P684" s="12">
        <f>N684-O684</f>
        <v/>
      </c>
      <c r="Q684" s="13">
        <f>EXP(O684)*Smearing_Factor</f>
        <v/>
      </c>
    </row>
    <row r="685">
      <c r="A685" t="n">
        <v>684</v>
      </c>
      <c r="B685" t="inlineStr">
        <is>
          <t>Engineering, manufacturing and construction</t>
        </is>
      </c>
      <c r="C685" s="9" t="n">
        <v>3.44</v>
      </c>
      <c r="D685" t="n">
        <v>6</v>
      </c>
      <c r="E685" t="n">
        <v>1</v>
      </c>
      <c r="F685" t="n">
        <v>0</v>
      </c>
      <c r="G685" s="10" t="n">
        <v>3210</v>
      </c>
      <c r="H685" t="n">
        <v>1</v>
      </c>
      <c r="I685" s="11">
        <f>C685-CGPA_Mean</f>
        <v/>
      </c>
      <c r="J685">
        <f>D685</f>
        <v/>
      </c>
      <c r="K685">
        <f>E685</f>
        <v/>
      </c>
      <c r="L685">
        <f>F685</f>
        <v/>
      </c>
      <c r="M685" s="11">
        <f>I685*K685</f>
        <v/>
      </c>
      <c r="N685" s="12">
        <f>LN(G685)</f>
        <v/>
      </c>
      <c r="O685" s="12">
        <f>H685*Beta_0+I685*Beta_1+J685*Beta_2+K685*Beta_3+L685*Beta_4+M685*Beta_5</f>
        <v/>
      </c>
      <c r="P685" s="12">
        <f>N685-O685</f>
        <v/>
      </c>
      <c r="Q685" s="13">
        <f>EXP(O685)*Smearing_Factor</f>
        <v/>
      </c>
    </row>
    <row r="686">
      <c r="A686" t="n">
        <v>685</v>
      </c>
      <c r="B686" t="inlineStr">
        <is>
          <t>Business, administration and law</t>
        </is>
      </c>
      <c r="C686" s="9" t="n">
        <v>3.73</v>
      </c>
      <c r="D686" t="n">
        <v>3</v>
      </c>
      <c r="E686" t="n">
        <v>0</v>
      </c>
      <c r="F686" t="n">
        <v>0</v>
      </c>
      <c r="G686" s="10" t="n">
        <v>1080</v>
      </c>
      <c r="H686" t="n">
        <v>1</v>
      </c>
      <c r="I686" s="11">
        <f>C686-CGPA_Mean</f>
        <v/>
      </c>
      <c r="J686">
        <f>D686</f>
        <v/>
      </c>
      <c r="K686">
        <f>E686</f>
        <v/>
      </c>
      <c r="L686">
        <f>F686</f>
        <v/>
      </c>
      <c r="M686" s="11">
        <f>I686*K686</f>
        <v/>
      </c>
      <c r="N686" s="12">
        <f>LN(G686)</f>
        <v/>
      </c>
      <c r="O686" s="12">
        <f>H686*Beta_0+I686*Beta_1+J686*Beta_2+K686*Beta_3+L686*Beta_4+M686*Beta_5</f>
        <v/>
      </c>
      <c r="P686" s="12">
        <f>N686-O686</f>
        <v/>
      </c>
      <c r="Q686" s="13">
        <f>EXP(O686)*Smearing_Factor</f>
        <v/>
      </c>
    </row>
    <row r="687">
      <c r="A687" t="n">
        <v>686</v>
      </c>
      <c r="B687" t="inlineStr">
        <is>
          <t>Business, administration and law</t>
        </is>
      </c>
      <c r="C687" s="9" t="n">
        <v>2.97</v>
      </c>
      <c r="D687" t="n">
        <v>6</v>
      </c>
      <c r="E687" t="n">
        <v>0</v>
      </c>
      <c r="F687" t="n">
        <v>0</v>
      </c>
      <c r="G687" s="10" t="n">
        <v>1990</v>
      </c>
      <c r="H687" t="n">
        <v>1</v>
      </c>
      <c r="I687" s="11">
        <f>C687-CGPA_Mean</f>
        <v/>
      </c>
      <c r="J687">
        <f>D687</f>
        <v/>
      </c>
      <c r="K687">
        <f>E687</f>
        <v/>
      </c>
      <c r="L687">
        <f>F687</f>
        <v/>
      </c>
      <c r="M687" s="11">
        <f>I687*K687</f>
        <v/>
      </c>
      <c r="N687" s="12">
        <f>LN(G687)</f>
        <v/>
      </c>
      <c r="O687" s="12">
        <f>H687*Beta_0+I687*Beta_1+J687*Beta_2+K687*Beta_3+L687*Beta_4+M687*Beta_5</f>
        <v/>
      </c>
      <c r="P687" s="12">
        <f>N687-O687</f>
        <v/>
      </c>
      <c r="Q687" s="13">
        <f>EXP(O687)*Smearing_Factor</f>
        <v/>
      </c>
    </row>
    <row r="688">
      <c r="A688" t="n">
        <v>687</v>
      </c>
      <c r="B688" t="inlineStr">
        <is>
          <t>Business, administration and law</t>
        </is>
      </c>
      <c r="C688" s="9" t="n">
        <v>2.62</v>
      </c>
      <c r="D688" t="n">
        <v>3</v>
      </c>
      <c r="E688" t="n">
        <v>0</v>
      </c>
      <c r="F688" t="n">
        <v>0</v>
      </c>
      <c r="G688" s="10" t="n">
        <v>690</v>
      </c>
      <c r="H688" t="n">
        <v>1</v>
      </c>
      <c r="I688" s="11">
        <f>C688-CGPA_Mean</f>
        <v/>
      </c>
      <c r="J688">
        <f>D688</f>
        <v/>
      </c>
      <c r="K688">
        <f>E688</f>
        <v/>
      </c>
      <c r="L688">
        <f>F688</f>
        <v/>
      </c>
      <c r="M688" s="11">
        <f>I688*K688</f>
        <v/>
      </c>
      <c r="N688" s="12">
        <f>LN(G688)</f>
        <v/>
      </c>
      <c r="O688" s="12">
        <f>H688*Beta_0+I688*Beta_1+J688*Beta_2+K688*Beta_3+L688*Beta_4+M688*Beta_5</f>
        <v/>
      </c>
      <c r="P688" s="12">
        <f>N688-O688</f>
        <v/>
      </c>
      <c r="Q688" s="13">
        <f>EXP(O688)*Smearing_Factor</f>
        <v/>
      </c>
    </row>
    <row r="689">
      <c r="A689" t="n">
        <v>688</v>
      </c>
      <c r="B689" t="inlineStr">
        <is>
          <t>Business, administration and law</t>
        </is>
      </c>
      <c r="C689" s="9" t="n">
        <v>2.84</v>
      </c>
      <c r="D689" t="n">
        <v>6</v>
      </c>
      <c r="E689" t="n">
        <v>0</v>
      </c>
      <c r="F689" t="n">
        <v>1</v>
      </c>
      <c r="G689" s="10" t="n">
        <v>2510</v>
      </c>
      <c r="H689" t="n">
        <v>1</v>
      </c>
      <c r="I689" s="11">
        <f>C689-CGPA_Mean</f>
        <v/>
      </c>
      <c r="J689">
        <f>D689</f>
        <v/>
      </c>
      <c r="K689">
        <f>E689</f>
        <v/>
      </c>
      <c r="L689">
        <f>F689</f>
        <v/>
      </c>
      <c r="M689" s="11">
        <f>I689*K689</f>
        <v/>
      </c>
      <c r="N689" s="12">
        <f>LN(G689)</f>
        <v/>
      </c>
      <c r="O689" s="12">
        <f>H689*Beta_0+I689*Beta_1+J689*Beta_2+K689*Beta_3+L689*Beta_4+M689*Beta_5</f>
        <v/>
      </c>
      <c r="P689" s="12">
        <f>N689-O689</f>
        <v/>
      </c>
      <c r="Q689" s="13">
        <f>EXP(O689)*Smearing_Factor</f>
        <v/>
      </c>
    </row>
    <row r="690">
      <c r="A690" t="n">
        <v>689</v>
      </c>
      <c r="B690" t="inlineStr">
        <is>
          <t>Engineering, manufacturing and construction</t>
        </is>
      </c>
      <c r="C690" s="9" t="n">
        <v>3.36</v>
      </c>
      <c r="D690" t="n">
        <v>6</v>
      </c>
      <c r="E690" t="n">
        <v>1</v>
      </c>
      <c r="F690" t="n">
        <v>0</v>
      </c>
      <c r="G690" s="10" t="n">
        <v>2930</v>
      </c>
      <c r="H690" t="n">
        <v>1</v>
      </c>
      <c r="I690" s="11">
        <f>C690-CGPA_Mean</f>
        <v/>
      </c>
      <c r="J690">
        <f>D690</f>
        <v/>
      </c>
      <c r="K690">
        <f>E690</f>
        <v/>
      </c>
      <c r="L690">
        <f>F690</f>
        <v/>
      </c>
      <c r="M690" s="11">
        <f>I690*K690</f>
        <v/>
      </c>
      <c r="N690" s="12">
        <f>LN(G690)</f>
        <v/>
      </c>
      <c r="O690" s="12">
        <f>H690*Beta_0+I690*Beta_1+J690*Beta_2+K690*Beta_3+L690*Beta_4+M690*Beta_5</f>
        <v/>
      </c>
      <c r="P690" s="12">
        <f>N690-O690</f>
        <v/>
      </c>
      <c r="Q690" s="13">
        <f>EXP(O690)*Smearing_Factor</f>
        <v/>
      </c>
    </row>
    <row r="691">
      <c r="A691" t="n">
        <v>690</v>
      </c>
      <c r="B691" t="inlineStr">
        <is>
          <t>Information and communication technologies</t>
        </is>
      </c>
      <c r="C691" s="9" t="n">
        <v>2.78</v>
      </c>
      <c r="D691" t="n">
        <v>6</v>
      </c>
      <c r="E691" t="n">
        <v>1</v>
      </c>
      <c r="F691" t="n">
        <v>0</v>
      </c>
      <c r="G691" s="10" t="n">
        <v>1960</v>
      </c>
      <c r="H691" t="n">
        <v>1</v>
      </c>
      <c r="I691" s="11">
        <f>C691-CGPA_Mean</f>
        <v/>
      </c>
      <c r="J691">
        <f>D691</f>
        <v/>
      </c>
      <c r="K691">
        <f>E691</f>
        <v/>
      </c>
      <c r="L691">
        <f>F691</f>
        <v/>
      </c>
      <c r="M691" s="11">
        <f>I691*K691</f>
        <v/>
      </c>
      <c r="N691" s="12">
        <f>LN(G691)</f>
        <v/>
      </c>
      <c r="O691" s="12">
        <f>H691*Beta_0+I691*Beta_1+J691*Beta_2+K691*Beta_3+L691*Beta_4+M691*Beta_5</f>
        <v/>
      </c>
      <c r="P691" s="12">
        <f>N691-O691</f>
        <v/>
      </c>
      <c r="Q691" s="13">
        <f>EXP(O691)*Smearing_Factor</f>
        <v/>
      </c>
    </row>
    <row r="692">
      <c r="A692" t="n">
        <v>691</v>
      </c>
      <c r="B692" t="inlineStr">
        <is>
          <t>Business, administration and law</t>
        </is>
      </c>
      <c r="C692" s="9" t="n">
        <v>2.23</v>
      </c>
      <c r="D692" t="n">
        <v>6</v>
      </c>
      <c r="E692" t="n">
        <v>0</v>
      </c>
      <c r="F692" t="n">
        <v>1</v>
      </c>
      <c r="G692" s="10" t="n">
        <v>2340</v>
      </c>
      <c r="H692" t="n">
        <v>1</v>
      </c>
      <c r="I692" s="11">
        <f>C692-CGPA_Mean</f>
        <v/>
      </c>
      <c r="J692">
        <f>D692</f>
        <v/>
      </c>
      <c r="K692">
        <f>E692</f>
        <v/>
      </c>
      <c r="L692">
        <f>F692</f>
        <v/>
      </c>
      <c r="M692" s="11">
        <f>I692*K692</f>
        <v/>
      </c>
      <c r="N692" s="12">
        <f>LN(G692)</f>
        <v/>
      </c>
      <c r="O692" s="12">
        <f>H692*Beta_0+I692*Beta_1+J692*Beta_2+K692*Beta_3+L692*Beta_4+M692*Beta_5</f>
        <v/>
      </c>
      <c r="P692" s="12">
        <f>N692-O692</f>
        <v/>
      </c>
      <c r="Q692" s="13">
        <f>EXP(O692)*Smearing_Factor</f>
        <v/>
      </c>
    </row>
    <row r="693">
      <c r="A693" t="n">
        <v>692</v>
      </c>
      <c r="B693" t="inlineStr">
        <is>
          <t>Education</t>
        </is>
      </c>
      <c r="C693" s="9" t="n">
        <v>2.31</v>
      </c>
      <c r="D693" t="n">
        <v>6</v>
      </c>
      <c r="E693" t="n">
        <v>0</v>
      </c>
      <c r="F693" t="n">
        <v>0</v>
      </c>
      <c r="G693" s="10" t="n">
        <v>570</v>
      </c>
      <c r="H693" t="n">
        <v>1</v>
      </c>
      <c r="I693" s="11">
        <f>C693-CGPA_Mean</f>
        <v/>
      </c>
      <c r="J693">
        <f>D693</f>
        <v/>
      </c>
      <c r="K693">
        <f>E693</f>
        <v/>
      </c>
      <c r="L693">
        <f>F693</f>
        <v/>
      </c>
      <c r="M693" s="11">
        <f>I693*K693</f>
        <v/>
      </c>
      <c r="N693" s="12">
        <f>LN(G693)</f>
        <v/>
      </c>
      <c r="O693" s="12">
        <f>H693*Beta_0+I693*Beta_1+J693*Beta_2+K693*Beta_3+L693*Beta_4+M693*Beta_5</f>
        <v/>
      </c>
      <c r="P693" s="12">
        <f>N693-O693</f>
        <v/>
      </c>
      <c r="Q693" s="13">
        <f>EXP(O693)*Smearing_Factor</f>
        <v/>
      </c>
    </row>
    <row r="694">
      <c r="A694" t="n">
        <v>693</v>
      </c>
      <c r="B694" t="inlineStr">
        <is>
          <t>Information and communication technologies</t>
        </is>
      </c>
      <c r="C694" s="9" t="n">
        <v>3.06</v>
      </c>
      <c r="D694" t="n">
        <v>9</v>
      </c>
      <c r="E694" t="n">
        <v>1</v>
      </c>
      <c r="F694" t="n">
        <v>0</v>
      </c>
      <c r="G694" s="10" t="n">
        <v>4080</v>
      </c>
      <c r="H694" t="n">
        <v>1</v>
      </c>
      <c r="I694" s="11">
        <f>C694-CGPA_Mean</f>
        <v/>
      </c>
      <c r="J694">
        <f>D694</f>
        <v/>
      </c>
      <c r="K694">
        <f>E694</f>
        <v/>
      </c>
      <c r="L694">
        <f>F694</f>
        <v/>
      </c>
      <c r="M694" s="11">
        <f>I694*K694</f>
        <v/>
      </c>
      <c r="N694" s="12">
        <f>LN(G694)</f>
        <v/>
      </c>
      <c r="O694" s="12">
        <f>H694*Beta_0+I694*Beta_1+J694*Beta_2+K694*Beta_3+L694*Beta_4+M694*Beta_5</f>
        <v/>
      </c>
      <c r="P694" s="12">
        <f>N694-O694</f>
        <v/>
      </c>
      <c r="Q694" s="13">
        <f>EXP(O694)*Smearing_Factor</f>
        <v/>
      </c>
    </row>
    <row r="695">
      <c r="A695" t="n">
        <v>694</v>
      </c>
      <c r="B695" t="inlineStr">
        <is>
          <t>Natural sciences, mathematics and statistics</t>
        </is>
      </c>
      <c r="C695" s="9" t="n">
        <v>2.72</v>
      </c>
      <c r="D695" t="n">
        <v>6</v>
      </c>
      <c r="E695" t="n">
        <v>1</v>
      </c>
      <c r="F695" t="n">
        <v>1</v>
      </c>
      <c r="G695" s="10" t="n">
        <v>1070</v>
      </c>
      <c r="H695" t="n">
        <v>1</v>
      </c>
      <c r="I695" s="11">
        <f>C695-CGPA_Mean</f>
        <v/>
      </c>
      <c r="J695">
        <f>D695</f>
        <v/>
      </c>
      <c r="K695">
        <f>E695</f>
        <v/>
      </c>
      <c r="L695">
        <f>F695</f>
        <v/>
      </c>
      <c r="M695" s="11">
        <f>I695*K695</f>
        <v/>
      </c>
      <c r="N695" s="12">
        <f>LN(G695)</f>
        <v/>
      </c>
      <c r="O695" s="12">
        <f>H695*Beta_0+I695*Beta_1+J695*Beta_2+K695*Beta_3+L695*Beta_4+M695*Beta_5</f>
        <v/>
      </c>
      <c r="P695" s="12">
        <f>N695-O695</f>
        <v/>
      </c>
      <c r="Q695" s="13">
        <f>EXP(O695)*Smearing_Factor</f>
        <v/>
      </c>
    </row>
    <row r="696">
      <c r="A696" t="n">
        <v>695</v>
      </c>
      <c r="B696" t="inlineStr">
        <is>
          <t>Engineering, manufacturing and construction</t>
        </is>
      </c>
      <c r="C696" s="9" t="n">
        <v>3.12</v>
      </c>
      <c r="D696" t="n">
        <v>6</v>
      </c>
      <c r="E696" t="n">
        <v>1</v>
      </c>
      <c r="F696" t="n">
        <v>0</v>
      </c>
      <c r="G696" s="10" t="n">
        <v>1320</v>
      </c>
      <c r="H696" t="n">
        <v>1</v>
      </c>
      <c r="I696" s="11">
        <f>C696-CGPA_Mean</f>
        <v/>
      </c>
      <c r="J696">
        <f>D696</f>
        <v/>
      </c>
      <c r="K696">
        <f>E696</f>
        <v/>
      </c>
      <c r="L696">
        <f>F696</f>
        <v/>
      </c>
      <c r="M696" s="11">
        <f>I696*K696</f>
        <v/>
      </c>
      <c r="N696" s="12">
        <f>LN(G696)</f>
        <v/>
      </c>
      <c r="O696" s="12">
        <f>H696*Beta_0+I696*Beta_1+J696*Beta_2+K696*Beta_3+L696*Beta_4+M696*Beta_5</f>
        <v/>
      </c>
      <c r="P696" s="12">
        <f>N696-O696</f>
        <v/>
      </c>
      <c r="Q696" s="13">
        <f>EXP(O696)*Smearing_Factor</f>
        <v/>
      </c>
    </row>
    <row r="697">
      <c r="A697" t="n">
        <v>696</v>
      </c>
      <c r="B697" t="inlineStr">
        <is>
          <t>Business, administration and law</t>
        </is>
      </c>
      <c r="C697" s="9" t="n">
        <v>3.2</v>
      </c>
      <c r="D697" t="n">
        <v>9</v>
      </c>
      <c r="E697" t="n">
        <v>0</v>
      </c>
      <c r="F697" t="n">
        <v>1</v>
      </c>
      <c r="G697" s="10" t="n">
        <v>4920</v>
      </c>
      <c r="H697" t="n">
        <v>1</v>
      </c>
      <c r="I697" s="11">
        <f>C697-CGPA_Mean</f>
        <v/>
      </c>
      <c r="J697">
        <f>D697</f>
        <v/>
      </c>
      <c r="K697">
        <f>E697</f>
        <v/>
      </c>
      <c r="L697">
        <f>F697</f>
        <v/>
      </c>
      <c r="M697" s="11">
        <f>I697*K697</f>
        <v/>
      </c>
      <c r="N697" s="12">
        <f>LN(G697)</f>
        <v/>
      </c>
      <c r="O697" s="12">
        <f>H697*Beta_0+I697*Beta_1+J697*Beta_2+K697*Beta_3+L697*Beta_4+M697*Beta_5</f>
        <v/>
      </c>
      <c r="P697" s="12">
        <f>N697-O697</f>
        <v/>
      </c>
      <c r="Q697" s="13">
        <f>EXP(O697)*Smearing_Factor</f>
        <v/>
      </c>
    </row>
    <row r="698">
      <c r="A698" t="n">
        <v>697</v>
      </c>
      <c r="B698" t="inlineStr">
        <is>
          <t>Health and welfare</t>
        </is>
      </c>
      <c r="C698" s="9" t="n">
        <v>3.03</v>
      </c>
      <c r="D698" t="n">
        <v>3</v>
      </c>
      <c r="E698" t="n">
        <v>0</v>
      </c>
      <c r="F698" t="n">
        <v>1</v>
      </c>
      <c r="G698" s="10" t="n">
        <v>4110</v>
      </c>
      <c r="H698" t="n">
        <v>1</v>
      </c>
      <c r="I698" s="11">
        <f>C698-CGPA_Mean</f>
        <v/>
      </c>
      <c r="J698">
        <f>D698</f>
        <v/>
      </c>
      <c r="K698">
        <f>E698</f>
        <v/>
      </c>
      <c r="L698">
        <f>F698</f>
        <v/>
      </c>
      <c r="M698" s="11">
        <f>I698*K698</f>
        <v/>
      </c>
      <c r="N698" s="12">
        <f>LN(G698)</f>
        <v/>
      </c>
      <c r="O698" s="12">
        <f>H698*Beta_0+I698*Beta_1+J698*Beta_2+K698*Beta_3+L698*Beta_4+M698*Beta_5</f>
        <v/>
      </c>
      <c r="P698" s="12">
        <f>N698-O698</f>
        <v/>
      </c>
      <c r="Q698" s="13">
        <f>EXP(O698)*Smearing_Factor</f>
        <v/>
      </c>
    </row>
    <row r="699">
      <c r="A699" t="n">
        <v>698</v>
      </c>
      <c r="B699" t="inlineStr">
        <is>
          <t>Education</t>
        </is>
      </c>
      <c r="C699" s="9" t="n">
        <v>3.49</v>
      </c>
      <c r="D699" t="n">
        <v>3</v>
      </c>
      <c r="E699" t="n">
        <v>0</v>
      </c>
      <c r="F699" t="n">
        <v>1</v>
      </c>
      <c r="G699" s="10" t="n">
        <v>1380</v>
      </c>
      <c r="H699" t="n">
        <v>1</v>
      </c>
      <c r="I699" s="11">
        <f>C699-CGPA_Mean</f>
        <v/>
      </c>
      <c r="J699">
        <f>D699</f>
        <v/>
      </c>
      <c r="K699">
        <f>E699</f>
        <v/>
      </c>
      <c r="L699">
        <f>F699</f>
        <v/>
      </c>
      <c r="M699" s="11">
        <f>I699*K699</f>
        <v/>
      </c>
      <c r="N699" s="12">
        <f>LN(G699)</f>
        <v/>
      </c>
      <c r="O699" s="12">
        <f>H699*Beta_0+I699*Beta_1+J699*Beta_2+K699*Beta_3+L699*Beta_4+M699*Beta_5</f>
        <v/>
      </c>
      <c r="P699" s="12">
        <f>N699-O699</f>
        <v/>
      </c>
      <c r="Q699" s="13">
        <f>EXP(O699)*Smearing_Factor</f>
        <v/>
      </c>
    </row>
    <row r="700">
      <c r="A700" t="n">
        <v>699</v>
      </c>
      <c r="B700" t="inlineStr">
        <is>
          <t>Engineering, manufacturing and construction</t>
        </is>
      </c>
      <c r="C700" s="9" t="n">
        <v>3.29</v>
      </c>
      <c r="D700" t="n">
        <v>6</v>
      </c>
      <c r="E700" t="n">
        <v>1</v>
      </c>
      <c r="F700" t="n">
        <v>1</v>
      </c>
      <c r="G700" s="10" t="n">
        <v>2880</v>
      </c>
      <c r="H700" t="n">
        <v>1</v>
      </c>
      <c r="I700" s="11">
        <f>C700-CGPA_Mean</f>
        <v/>
      </c>
      <c r="J700">
        <f>D700</f>
        <v/>
      </c>
      <c r="K700">
        <f>E700</f>
        <v/>
      </c>
      <c r="L700">
        <f>F700</f>
        <v/>
      </c>
      <c r="M700" s="11">
        <f>I700*K700</f>
        <v/>
      </c>
      <c r="N700" s="12">
        <f>LN(G700)</f>
        <v/>
      </c>
      <c r="O700" s="12">
        <f>H700*Beta_0+I700*Beta_1+J700*Beta_2+K700*Beta_3+L700*Beta_4+M700*Beta_5</f>
        <v/>
      </c>
      <c r="P700" s="12">
        <f>N700-O700</f>
        <v/>
      </c>
      <c r="Q700" s="13">
        <f>EXP(O700)*Smearing_Factor</f>
        <v/>
      </c>
    </row>
    <row r="701">
      <c r="A701" t="n">
        <v>700</v>
      </c>
      <c r="B701" t="inlineStr">
        <is>
          <t>Arts and humanities</t>
        </is>
      </c>
      <c r="C701" s="9" t="n">
        <v>3.83</v>
      </c>
      <c r="D701" t="n">
        <v>6</v>
      </c>
      <c r="E701" t="n">
        <v>0</v>
      </c>
      <c r="F701" t="n">
        <v>1</v>
      </c>
      <c r="G701" s="10" t="n">
        <v>3480</v>
      </c>
      <c r="H701" t="n">
        <v>1</v>
      </c>
      <c r="I701" s="11">
        <f>C701-CGPA_Mean</f>
        <v/>
      </c>
      <c r="J701">
        <f>D701</f>
        <v/>
      </c>
      <c r="K701">
        <f>E701</f>
        <v/>
      </c>
      <c r="L701">
        <f>F701</f>
        <v/>
      </c>
      <c r="M701" s="11">
        <f>I701*K701</f>
        <v/>
      </c>
      <c r="N701" s="12">
        <f>LN(G701)</f>
        <v/>
      </c>
      <c r="O701" s="12">
        <f>H701*Beta_0+I701*Beta_1+J701*Beta_2+K701*Beta_3+L701*Beta_4+M701*Beta_5</f>
        <v/>
      </c>
      <c r="P701" s="12">
        <f>N701-O701</f>
        <v/>
      </c>
      <c r="Q701" s="13">
        <f>EXP(O701)*Smearing_Factor</f>
        <v/>
      </c>
    </row>
    <row r="702">
      <c r="A702" t="n">
        <v>701</v>
      </c>
      <c r="B702" t="inlineStr">
        <is>
          <t>Health and welfare</t>
        </is>
      </c>
      <c r="C702" s="9" t="n">
        <v>3.63</v>
      </c>
      <c r="D702" t="n">
        <v>3</v>
      </c>
      <c r="E702" t="n">
        <v>0</v>
      </c>
      <c r="F702" t="n">
        <v>0</v>
      </c>
      <c r="G702" s="10" t="n">
        <v>9090</v>
      </c>
      <c r="H702" t="n">
        <v>1</v>
      </c>
      <c r="I702" s="11">
        <f>C702-CGPA_Mean</f>
        <v/>
      </c>
      <c r="J702">
        <f>D702</f>
        <v/>
      </c>
      <c r="K702">
        <f>E702</f>
        <v/>
      </c>
      <c r="L702">
        <f>F702</f>
        <v/>
      </c>
      <c r="M702" s="11">
        <f>I702*K702</f>
        <v/>
      </c>
      <c r="N702" s="12">
        <f>LN(G702)</f>
        <v/>
      </c>
      <c r="O702" s="12">
        <f>H702*Beta_0+I702*Beta_1+J702*Beta_2+K702*Beta_3+L702*Beta_4+M702*Beta_5</f>
        <v/>
      </c>
      <c r="P702" s="12">
        <f>N702-O702</f>
        <v/>
      </c>
      <c r="Q702" s="13">
        <f>EXP(O702)*Smearing_Factor</f>
        <v/>
      </c>
    </row>
    <row r="703">
      <c r="A703" t="n">
        <v>702</v>
      </c>
      <c r="B703" t="inlineStr">
        <is>
          <t>Education</t>
        </is>
      </c>
      <c r="C703" s="9" t="n">
        <v>2.72</v>
      </c>
      <c r="D703" t="n">
        <v>6</v>
      </c>
      <c r="E703" t="n">
        <v>0</v>
      </c>
      <c r="F703" t="n">
        <v>1</v>
      </c>
      <c r="G703" s="10" t="n">
        <v>3470</v>
      </c>
      <c r="H703" t="n">
        <v>1</v>
      </c>
      <c r="I703" s="11">
        <f>C703-CGPA_Mean</f>
        <v/>
      </c>
      <c r="J703">
        <f>D703</f>
        <v/>
      </c>
      <c r="K703">
        <f>E703</f>
        <v/>
      </c>
      <c r="L703">
        <f>F703</f>
        <v/>
      </c>
      <c r="M703" s="11">
        <f>I703*K703</f>
        <v/>
      </c>
      <c r="N703" s="12">
        <f>LN(G703)</f>
        <v/>
      </c>
      <c r="O703" s="12">
        <f>H703*Beta_0+I703*Beta_1+J703*Beta_2+K703*Beta_3+L703*Beta_4+M703*Beta_5</f>
        <v/>
      </c>
      <c r="P703" s="12">
        <f>N703-O703</f>
        <v/>
      </c>
      <c r="Q703" s="13">
        <f>EXP(O703)*Smearing_Factor</f>
        <v/>
      </c>
    </row>
    <row r="704">
      <c r="A704" t="n">
        <v>703</v>
      </c>
      <c r="B704" t="inlineStr">
        <is>
          <t>Engineering, manufacturing and construction</t>
        </is>
      </c>
      <c r="C704" s="9" t="n">
        <v>3.13</v>
      </c>
      <c r="D704" t="n">
        <v>6</v>
      </c>
      <c r="E704" t="n">
        <v>1</v>
      </c>
      <c r="F704" t="n">
        <v>0</v>
      </c>
      <c r="G704" s="10" t="n">
        <v>2140</v>
      </c>
      <c r="H704" t="n">
        <v>1</v>
      </c>
      <c r="I704" s="11">
        <f>C704-CGPA_Mean</f>
        <v/>
      </c>
      <c r="J704">
        <f>D704</f>
        <v/>
      </c>
      <c r="K704">
        <f>E704</f>
        <v/>
      </c>
      <c r="L704">
        <f>F704</f>
        <v/>
      </c>
      <c r="M704" s="11">
        <f>I704*K704</f>
        <v/>
      </c>
      <c r="N704" s="12">
        <f>LN(G704)</f>
        <v/>
      </c>
      <c r="O704" s="12">
        <f>H704*Beta_0+I704*Beta_1+J704*Beta_2+K704*Beta_3+L704*Beta_4+M704*Beta_5</f>
        <v/>
      </c>
      <c r="P704" s="12">
        <f>N704-O704</f>
        <v/>
      </c>
      <c r="Q704" s="13">
        <f>EXP(O704)*Smearing_Factor</f>
        <v/>
      </c>
    </row>
    <row r="705">
      <c r="A705" t="n">
        <v>704</v>
      </c>
      <c r="B705" t="inlineStr">
        <is>
          <t>Information and communication technologies</t>
        </is>
      </c>
      <c r="C705" s="9" t="n">
        <v>2.77</v>
      </c>
      <c r="D705" t="n">
        <v>3</v>
      </c>
      <c r="E705" t="n">
        <v>1</v>
      </c>
      <c r="F705" t="n">
        <v>0</v>
      </c>
      <c r="G705" s="10" t="n">
        <v>630</v>
      </c>
      <c r="H705" t="n">
        <v>1</v>
      </c>
      <c r="I705" s="11">
        <f>C705-CGPA_Mean</f>
        <v/>
      </c>
      <c r="J705">
        <f>D705</f>
        <v/>
      </c>
      <c r="K705">
        <f>E705</f>
        <v/>
      </c>
      <c r="L705">
        <f>F705</f>
        <v/>
      </c>
      <c r="M705" s="11">
        <f>I705*K705</f>
        <v/>
      </c>
      <c r="N705" s="12">
        <f>LN(G705)</f>
        <v/>
      </c>
      <c r="O705" s="12">
        <f>H705*Beta_0+I705*Beta_1+J705*Beta_2+K705*Beta_3+L705*Beta_4+M705*Beta_5</f>
        <v/>
      </c>
      <c r="P705" s="12">
        <f>N705-O705</f>
        <v/>
      </c>
      <c r="Q705" s="13">
        <f>EXP(O705)*Smearing_Factor</f>
        <v/>
      </c>
    </row>
    <row r="706">
      <c r="A706" t="n">
        <v>705</v>
      </c>
      <c r="B706" t="inlineStr">
        <is>
          <t>Business, administration and law</t>
        </is>
      </c>
      <c r="C706" s="9" t="n">
        <v>3.4</v>
      </c>
      <c r="D706" t="n">
        <v>6</v>
      </c>
      <c r="E706" t="n">
        <v>0</v>
      </c>
      <c r="F706" t="n">
        <v>1</v>
      </c>
      <c r="G706" s="10" t="n">
        <v>3420</v>
      </c>
      <c r="H706" t="n">
        <v>1</v>
      </c>
      <c r="I706" s="11">
        <f>C706-CGPA_Mean</f>
        <v/>
      </c>
      <c r="J706">
        <f>D706</f>
        <v/>
      </c>
      <c r="K706">
        <f>E706</f>
        <v/>
      </c>
      <c r="L706">
        <f>F706</f>
        <v/>
      </c>
      <c r="M706" s="11">
        <f>I706*K706</f>
        <v/>
      </c>
      <c r="N706" s="12">
        <f>LN(G706)</f>
        <v/>
      </c>
      <c r="O706" s="12">
        <f>H706*Beta_0+I706*Beta_1+J706*Beta_2+K706*Beta_3+L706*Beta_4+M706*Beta_5</f>
        <v/>
      </c>
      <c r="P706" s="12">
        <f>N706-O706</f>
        <v/>
      </c>
      <c r="Q706" s="13">
        <f>EXP(O706)*Smearing_Factor</f>
        <v/>
      </c>
    </row>
    <row r="707">
      <c r="A707" t="n">
        <v>706</v>
      </c>
      <c r="B707" t="inlineStr">
        <is>
          <t>Engineering, manufacturing and construction</t>
        </is>
      </c>
      <c r="C707" s="9" t="n">
        <v>2.17</v>
      </c>
      <c r="D707" t="n">
        <v>6</v>
      </c>
      <c r="E707" t="n">
        <v>1</v>
      </c>
      <c r="F707" t="n">
        <v>0</v>
      </c>
      <c r="G707" s="10" t="n">
        <v>570</v>
      </c>
      <c r="H707" t="n">
        <v>1</v>
      </c>
      <c r="I707" s="11">
        <f>C707-CGPA_Mean</f>
        <v/>
      </c>
      <c r="J707">
        <f>D707</f>
        <v/>
      </c>
      <c r="K707">
        <f>E707</f>
        <v/>
      </c>
      <c r="L707">
        <f>F707</f>
        <v/>
      </c>
      <c r="M707" s="11">
        <f>I707*K707</f>
        <v/>
      </c>
      <c r="N707" s="12">
        <f>LN(G707)</f>
        <v/>
      </c>
      <c r="O707" s="12">
        <f>H707*Beta_0+I707*Beta_1+J707*Beta_2+K707*Beta_3+L707*Beta_4+M707*Beta_5</f>
        <v/>
      </c>
      <c r="P707" s="12">
        <f>N707-O707</f>
        <v/>
      </c>
      <c r="Q707" s="13">
        <f>EXP(O707)*Smearing_Factor</f>
        <v/>
      </c>
    </row>
    <row r="708">
      <c r="A708" t="n">
        <v>707</v>
      </c>
      <c r="B708" t="inlineStr">
        <is>
          <t>Natural sciences, mathematics and statistics</t>
        </is>
      </c>
      <c r="C708" s="9" t="n">
        <v>2.47</v>
      </c>
      <c r="D708" t="n">
        <v>3</v>
      </c>
      <c r="E708" t="n">
        <v>1</v>
      </c>
      <c r="F708" t="n">
        <v>1</v>
      </c>
      <c r="G708" s="10" t="n">
        <v>1210</v>
      </c>
      <c r="H708" t="n">
        <v>1</v>
      </c>
      <c r="I708" s="11">
        <f>C708-CGPA_Mean</f>
        <v/>
      </c>
      <c r="J708">
        <f>D708</f>
        <v/>
      </c>
      <c r="K708">
        <f>E708</f>
        <v/>
      </c>
      <c r="L708">
        <f>F708</f>
        <v/>
      </c>
      <c r="M708" s="11">
        <f>I708*K708</f>
        <v/>
      </c>
      <c r="N708" s="12">
        <f>LN(G708)</f>
        <v/>
      </c>
      <c r="O708" s="12">
        <f>H708*Beta_0+I708*Beta_1+J708*Beta_2+K708*Beta_3+L708*Beta_4+M708*Beta_5</f>
        <v/>
      </c>
      <c r="P708" s="12">
        <f>N708-O708</f>
        <v/>
      </c>
      <c r="Q708" s="13">
        <f>EXP(O708)*Smearing_Factor</f>
        <v/>
      </c>
    </row>
    <row r="709">
      <c r="A709" t="n">
        <v>708</v>
      </c>
      <c r="B709" t="inlineStr">
        <is>
          <t>Education</t>
        </is>
      </c>
      <c r="C709" s="9" t="n">
        <v>3.12</v>
      </c>
      <c r="D709" t="n">
        <v>6</v>
      </c>
      <c r="E709" t="n">
        <v>0</v>
      </c>
      <c r="F709" t="n">
        <v>1</v>
      </c>
      <c r="G709" s="10" t="n">
        <v>2600</v>
      </c>
      <c r="H709" t="n">
        <v>1</v>
      </c>
      <c r="I709" s="11">
        <f>C709-CGPA_Mean</f>
        <v/>
      </c>
      <c r="J709">
        <f>D709</f>
        <v/>
      </c>
      <c r="K709">
        <f>E709</f>
        <v/>
      </c>
      <c r="L709">
        <f>F709</f>
        <v/>
      </c>
      <c r="M709" s="11">
        <f>I709*K709</f>
        <v/>
      </c>
      <c r="N709" s="12">
        <f>LN(G709)</f>
        <v/>
      </c>
      <c r="O709" s="12">
        <f>H709*Beta_0+I709*Beta_1+J709*Beta_2+K709*Beta_3+L709*Beta_4+M709*Beta_5</f>
        <v/>
      </c>
      <c r="P709" s="12">
        <f>N709-O709</f>
        <v/>
      </c>
      <c r="Q709" s="13">
        <f>EXP(O709)*Smearing_Factor</f>
        <v/>
      </c>
    </row>
    <row r="710">
      <c r="A710" t="n">
        <v>709</v>
      </c>
      <c r="B710" t="inlineStr">
        <is>
          <t>Social sciences, journalism and information</t>
        </is>
      </c>
      <c r="C710" s="9" t="n">
        <v>2.98</v>
      </c>
      <c r="D710" t="n">
        <v>6</v>
      </c>
      <c r="E710" t="n">
        <v>0</v>
      </c>
      <c r="F710" t="n">
        <v>1</v>
      </c>
      <c r="G710" s="10" t="n">
        <v>3340</v>
      </c>
      <c r="H710" t="n">
        <v>1</v>
      </c>
      <c r="I710" s="11">
        <f>C710-CGPA_Mean</f>
        <v/>
      </c>
      <c r="J710">
        <f>D710</f>
        <v/>
      </c>
      <c r="K710">
        <f>E710</f>
        <v/>
      </c>
      <c r="L710">
        <f>F710</f>
        <v/>
      </c>
      <c r="M710" s="11">
        <f>I710*K710</f>
        <v/>
      </c>
      <c r="N710" s="12">
        <f>LN(G710)</f>
        <v/>
      </c>
      <c r="O710" s="12">
        <f>H710*Beta_0+I710*Beta_1+J710*Beta_2+K710*Beta_3+L710*Beta_4+M710*Beta_5</f>
        <v/>
      </c>
      <c r="P710" s="12">
        <f>N710-O710</f>
        <v/>
      </c>
      <c r="Q710" s="13">
        <f>EXP(O710)*Smearing_Factor</f>
        <v/>
      </c>
    </row>
    <row r="711">
      <c r="A711" t="n">
        <v>710</v>
      </c>
      <c r="B711" t="inlineStr">
        <is>
          <t>Engineering, manufacturing and construction</t>
        </is>
      </c>
      <c r="C711" s="9" t="n">
        <v>3.21</v>
      </c>
      <c r="D711" t="n">
        <v>6</v>
      </c>
      <c r="E711" t="n">
        <v>1</v>
      </c>
      <c r="F711" t="n">
        <v>0</v>
      </c>
      <c r="G711" s="10" t="n">
        <v>4340</v>
      </c>
      <c r="H711" t="n">
        <v>1</v>
      </c>
      <c r="I711" s="11">
        <f>C711-CGPA_Mean</f>
        <v/>
      </c>
      <c r="J711">
        <f>D711</f>
        <v/>
      </c>
      <c r="K711">
        <f>E711</f>
        <v/>
      </c>
      <c r="L711">
        <f>F711</f>
        <v/>
      </c>
      <c r="M711" s="11">
        <f>I711*K711</f>
        <v/>
      </c>
      <c r="N711" s="12">
        <f>LN(G711)</f>
        <v/>
      </c>
      <c r="O711" s="12">
        <f>H711*Beta_0+I711*Beta_1+J711*Beta_2+K711*Beta_3+L711*Beta_4+M711*Beta_5</f>
        <v/>
      </c>
      <c r="P711" s="12">
        <f>N711-O711</f>
        <v/>
      </c>
      <c r="Q711" s="13">
        <f>EXP(O711)*Smearing_Factor</f>
        <v/>
      </c>
    </row>
    <row r="712">
      <c r="A712" t="n">
        <v>711</v>
      </c>
      <c r="B712" t="inlineStr">
        <is>
          <t>Engineering, manufacturing and construction</t>
        </is>
      </c>
      <c r="C712" s="9" t="n">
        <v>2.83</v>
      </c>
      <c r="D712" t="n">
        <v>3</v>
      </c>
      <c r="E712" t="n">
        <v>1</v>
      </c>
      <c r="F712" t="n">
        <v>0</v>
      </c>
      <c r="G712" s="10" t="n">
        <v>1700</v>
      </c>
      <c r="H712" t="n">
        <v>1</v>
      </c>
      <c r="I712" s="11">
        <f>C712-CGPA_Mean</f>
        <v/>
      </c>
      <c r="J712">
        <f>D712</f>
        <v/>
      </c>
      <c r="K712">
        <f>E712</f>
        <v/>
      </c>
      <c r="L712">
        <f>F712</f>
        <v/>
      </c>
      <c r="M712" s="11">
        <f>I712*K712</f>
        <v/>
      </c>
      <c r="N712" s="12">
        <f>LN(G712)</f>
        <v/>
      </c>
      <c r="O712" s="12">
        <f>H712*Beta_0+I712*Beta_1+J712*Beta_2+K712*Beta_3+L712*Beta_4+M712*Beta_5</f>
        <v/>
      </c>
      <c r="P712" s="12">
        <f>N712-O712</f>
        <v/>
      </c>
      <c r="Q712" s="13">
        <f>EXP(O712)*Smearing_Factor</f>
        <v/>
      </c>
    </row>
    <row r="713">
      <c r="A713" t="n">
        <v>712</v>
      </c>
      <c r="B713" t="inlineStr">
        <is>
          <t>Information and communication technologies</t>
        </is>
      </c>
      <c r="C713" s="9" t="n">
        <v>3.05</v>
      </c>
      <c r="D713" t="n">
        <v>6</v>
      </c>
      <c r="E713" t="n">
        <v>1</v>
      </c>
      <c r="F713" t="n">
        <v>0</v>
      </c>
      <c r="G713" s="10" t="n">
        <v>1770</v>
      </c>
      <c r="H713" t="n">
        <v>1</v>
      </c>
      <c r="I713" s="11">
        <f>C713-CGPA_Mean</f>
        <v/>
      </c>
      <c r="J713">
        <f>D713</f>
        <v/>
      </c>
      <c r="K713">
        <f>E713</f>
        <v/>
      </c>
      <c r="L713">
        <f>F713</f>
        <v/>
      </c>
      <c r="M713" s="11">
        <f>I713*K713</f>
        <v/>
      </c>
      <c r="N713" s="12">
        <f>LN(G713)</f>
        <v/>
      </c>
      <c r="O713" s="12">
        <f>H713*Beta_0+I713*Beta_1+J713*Beta_2+K713*Beta_3+L713*Beta_4+M713*Beta_5</f>
        <v/>
      </c>
      <c r="P713" s="12">
        <f>N713-O713</f>
        <v/>
      </c>
      <c r="Q713" s="13">
        <f>EXP(O713)*Smearing_Factor</f>
        <v/>
      </c>
    </row>
    <row r="714">
      <c r="A714" t="n">
        <v>713</v>
      </c>
      <c r="B714" t="inlineStr">
        <is>
          <t>Business, administration and law</t>
        </is>
      </c>
      <c r="C714" s="9" t="n">
        <v>2.75</v>
      </c>
      <c r="D714" t="n">
        <v>3</v>
      </c>
      <c r="E714" t="n">
        <v>0</v>
      </c>
      <c r="F714" t="n">
        <v>0</v>
      </c>
      <c r="G714" s="10" t="n">
        <v>2360</v>
      </c>
      <c r="H714" t="n">
        <v>1</v>
      </c>
      <c r="I714" s="11">
        <f>C714-CGPA_Mean</f>
        <v/>
      </c>
      <c r="J714">
        <f>D714</f>
        <v/>
      </c>
      <c r="K714">
        <f>E714</f>
        <v/>
      </c>
      <c r="L714">
        <f>F714</f>
        <v/>
      </c>
      <c r="M714" s="11">
        <f>I714*K714</f>
        <v/>
      </c>
      <c r="N714" s="12">
        <f>LN(G714)</f>
        <v/>
      </c>
      <c r="O714" s="12">
        <f>H714*Beta_0+I714*Beta_1+J714*Beta_2+K714*Beta_3+L714*Beta_4+M714*Beta_5</f>
        <v/>
      </c>
      <c r="P714" s="12">
        <f>N714-O714</f>
        <v/>
      </c>
      <c r="Q714" s="13">
        <f>EXP(O714)*Smearing_Factor</f>
        <v/>
      </c>
    </row>
    <row r="715">
      <c r="A715" t="n">
        <v>714</v>
      </c>
      <c r="B715" t="inlineStr">
        <is>
          <t>Information and communication technologies</t>
        </is>
      </c>
      <c r="C715" s="9" t="n">
        <v>2.91</v>
      </c>
      <c r="D715" t="n">
        <v>9</v>
      </c>
      <c r="E715" t="n">
        <v>1</v>
      </c>
      <c r="F715" t="n">
        <v>0</v>
      </c>
      <c r="G715" s="10" t="n">
        <v>2540</v>
      </c>
      <c r="H715" t="n">
        <v>1</v>
      </c>
      <c r="I715" s="11">
        <f>C715-CGPA_Mean</f>
        <v/>
      </c>
      <c r="J715">
        <f>D715</f>
        <v/>
      </c>
      <c r="K715">
        <f>E715</f>
        <v/>
      </c>
      <c r="L715">
        <f>F715</f>
        <v/>
      </c>
      <c r="M715" s="11">
        <f>I715*K715</f>
        <v/>
      </c>
      <c r="N715" s="12">
        <f>LN(G715)</f>
        <v/>
      </c>
      <c r="O715" s="12">
        <f>H715*Beta_0+I715*Beta_1+J715*Beta_2+K715*Beta_3+L715*Beta_4+M715*Beta_5</f>
        <v/>
      </c>
      <c r="P715" s="12">
        <f>N715-O715</f>
        <v/>
      </c>
      <c r="Q715" s="13">
        <f>EXP(O715)*Smearing_Factor</f>
        <v/>
      </c>
    </row>
    <row r="716">
      <c r="A716" t="n">
        <v>715</v>
      </c>
      <c r="B716" t="inlineStr">
        <is>
          <t>Engineering, manufacturing and construction</t>
        </is>
      </c>
      <c r="C716" s="9" t="n">
        <v>3.25</v>
      </c>
      <c r="D716" t="n">
        <v>6</v>
      </c>
      <c r="E716" t="n">
        <v>1</v>
      </c>
      <c r="F716" t="n">
        <v>0</v>
      </c>
      <c r="G716" s="10" t="n">
        <v>2100</v>
      </c>
      <c r="H716" t="n">
        <v>1</v>
      </c>
      <c r="I716" s="11">
        <f>C716-CGPA_Mean</f>
        <v/>
      </c>
      <c r="J716">
        <f>D716</f>
        <v/>
      </c>
      <c r="K716">
        <f>E716</f>
        <v/>
      </c>
      <c r="L716">
        <f>F716</f>
        <v/>
      </c>
      <c r="M716" s="11">
        <f>I716*K716</f>
        <v/>
      </c>
      <c r="N716" s="12">
        <f>LN(G716)</f>
        <v/>
      </c>
      <c r="O716" s="12">
        <f>H716*Beta_0+I716*Beta_1+J716*Beta_2+K716*Beta_3+L716*Beta_4+M716*Beta_5</f>
        <v/>
      </c>
      <c r="P716" s="12">
        <f>N716-O716</f>
        <v/>
      </c>
      <c r="Q716" s="13">
        <f>EXP(O716)*Smearing_Factor</f>
        <v/>
      </c>
    </row>
    <row r="717">
      <c r="A717" t="n">
        <v>716</v>
      </c>
      <c r="B717" t="inlineStr">
        <is>
          <t>Business, administration and law</t>
        </is>
      </c>
      <c r="C717" s="9" t="n">
        <v>2.84</v>
      </c>
      <c r="D717" t="n">
        <v>6</v>
      </c>
      <c r="E717" t="n">
        <v>0</v>
      </c>
      <c r="F717" t="n">
        <v>1</v>
      </c>
      <c r="G717" s="10" t="n">
        <v>4700</v>
      </c>
      <c r="H717" t="n">
        <v>1</v>
      </c>
      <c r="I717" s="11">
        <f>C717-CGPA_Mean</f>
        <v/>
      </c>
      <c r="J717">
        <f>D717</f>
        <v/>
      </c>
      <c r="K717">
        <f>E717</f>
        <v/>
      </c>
      <c r="L717">
        <f>F717</f>
        <v/>
      </c>
      <c r="M717" s="11">
        <f>I717*K717</f>
        <v/>
      </c>
      <c r="N717" s="12">
        <f>LN(G717)</f>
        <v/>
      </c>
      <c r="O717" s="12">
        <f>H717*Beta_0+I717*Beta_1+J717*Beta_2+K717*Beta_3+L717*Beta_4+M717*Beta_5</f>
        <v/>
      </c>
      <c r="P717" s="12">
        <f>N717-O717</f>
        <v/>
      </c>
      <c r="Q717" s="13">
        <f>EXP(O717)*Smearing_Factor</f>
        <v/>
      </c>
    </row>
    <row r="718">
      <c r="A718" t="n">
        <v>717</v>
      </c>
      <c r="B718" t="inlineStr">
        <is>
          <t>Business, administration and law</t>
        </is>
      </c>
      <c r="C718" s="9" t="n">
        <v>3.29</v>
      </c>
      <c r="D718" t="n">
        <v>6</v>
      </c>
      <c r="E718" t="n">
        <v>0</v>
      </c>
      <c r="F718" t="n">
        <v>1</v>
      </c>
      <c r="G718" s="10" t="n">
        <v>3020</v>
      </c>
      <c r="H718" t="n">
        <v>1</v>
      </c>
      <c r="I718" s="11">
        <f>C718-CGPA_Mean</f>
        <v/>
      </c>
      <c r="J718">
        <f>D718</f>
        <v/>
      </c>
      <c r="K718">
        <f>E718</f>
        <v/>
      </c>
      <c r="L718">
        <f>F718</f>
        <v/>
      </c>
      <c r="M718" s="11">
        <f>I718*K718</f>
        <v/>
      </c>
      <c r="N718" s="12">
        <f>LN(G718)</f>
        <v/>
      </c>
      <c r="O718" s="12">
        <f>H718*Beta_0+I718*Beta_1+J718*Beta_2+K718*Beta_3+L718*Beta_4+M718*Beta_5</f>
        <v/>
      </c>
      <c r="P718" s="12">
        <f>N718-O718</f>
        <v/>
      </c>
      <c r="Q718" s="13">
        <f>EXP(O718)*Smearing_Factor</f>
        <v/>
      </c>
    </row>
    <row r="719">
      <c r="A719" t="n">
        <v>718</v>
      </c>
      <c r="B719" t="inlineStr">
        <is>
          <t>Natural sciences, mathematics and statistics</t>
        </is>
      </c>
      <c r="C719" s="9" t="n">
        <v>3.16</v>
      </c>
      <c r="D719" t="n">
        <v>6</v>
      </c>
      <c r="E719" t="n">
        <v>1</v>
      </c>
      <c r="F719" t="n">
        <v>1</v>
      </c>
      <c r="G719" s="10" t="n">
        <v>2140</v>
      </c>
      <c r="H719" t="n">
        <v>1</v>
      </c>
      <c r="I719" s="11">
        <f>C719-CGPA_Mean</f>
        <v/>
      </c>
      <c r="J719">
        <f>D719</f>
        <v/>
      </c>
      <c r="K719">
        <f>E719</f>
        <v/>
      </c>
      <c r="L719">
        <f>F719</f>
        <v/>
      </c>
      <c r="M719" s="11">
        <f>I719*K719</f>
        <v/>
      </c>
      <c r="N719" s="12">
        <f>LN(G719)</f>
        <v/>
      </c>
      <c r="O719" s="12">
        <f>H719*Beta_0+I719*Beta_1+J719*Beta_2+K719*Beta_3+L719*Beta_4+M719*Beta_5</f>
        <v/>
      </c>
      <c r="P719" s="12">
        <f>N719-O719</f>
        <v/>
      </c>
      <c r="Q719" s="13">
        <f>EXP(O719)*Smearing_Factor</f>
        <v/>
      </c>
    </row>
    <row r="720">
      <c r="A720" t="n">
        <v>719</v>
      </c>
      <c r="B720" t="inlineStr">
        <is>
          <t>Business, administration and law</t>
        </is>
      </c>
      <c r="C720" s="9" t="n">
        <v>2.62</v>
      </c>
      <c r="D720" t="n">
        <v>6</v>
      </c>
      <c r="E720" t="n">
        <v>0</v>
      </c>
      <c r="F720" t="n">
        <v>0</v>
      </c>
      <c r="G720" s="10" t="n">
        <v>2800</v>
      </c>
      <c r="H720" t="n">
        <v>1</v>
      </c>
      <c r="I720" s="11">
        <f>C720-CGPA_Mean</f>
        <v/>
      </c>
      <c r="J720">
        <f>D720</f>
        <v/>
      </c>
      <c r="K720">
        <f>E720</f>
        <v/>
      </c>
      <c r="L720">
        <f>F720</f>
        <v/>
      </c>
      <c r="M720" s="11">
        <f>I720*K720</f>
        <v/>
      </c>
      <c r="N720" s="12">
        <f>LN(G720)</f>
        <v/>
      </c>
      <c r="O720" s="12">
        <f>H720*Beta_0+I720*Beta_1+J720*Beta_2+K720*Beta_3+L720*Beta_4+M720*Beta_5</f>
        <v/>
      </c>
      <c r="P720" s="12">
        <f>N720-O720</f>
        <v/>
      </c>
      <c r="Q720" s="13">
        <f>EXP(O720)*Smearing_Factor</f>
        <v/>
      </c>
    </row>
    <row r="721">
      <c r="A721" t="n">
        <v>720</v>
      </c>
      <c r="B721" t="inlineStr">
        <is>
          <t>Business, administration and law</t>
        </is>
      </c>
      <c r="C721" s="9" t="n">
        <v>3.91</v>
      </c>
      <c r="D721" t="n">
        <v>6</v>
      </c>
      <c r="E721" t="n">
        <v>0</v>
      </c>
      <c r="F721" t="n">
        <v>1</v>
      </c>
      <c r="G721" s="10" t="n">
        <v>4490</v>
      </c>
      <c r="H721" t="n">
        <v>1</v>
      </c>
      <c r="I721" s="11">
        <f>C721-CGPA_Mean</f>
        <v/>
      </c>
      <c r="J721">
        <f>D721</f>
        <v/>
      </c>
      <c r="K721">
        <f>E721</f>
        <v/>
      </c>
      <c r="L721">
        <f>F721</f>
        <v/>
      </c>
      <c r="M721" s="11">
        <f>I721*K721</f>
        <v/>
      </c>
      <c r="N721" s="12">
        <f>LN(G721)</f>
        <v/>
      </c>
      <c r="O721" s="12">
        <f>H721*Beta_0+I721*Beta_1+J721*Beta_2+K721*Beta_3+L721*Beta_4+M721*Beta_5</f>
        <v/>
      </c>
      <c r="P721" s="12">
        <f>N721-O721</f>
        <v/>
      </c>
      <c r="Q721" s="13">
        <f>EXP(O721)*Smearing_Factor</f>
        <v/>
      </c>
    </row>
    <row r="722">
      <c r="A722" t="n">
        <v>721</v>
      </c>
      <c r="B722" t="inlineStr">
        <is>
          <t>Services</t>
        </is>
      </c>
      <c r="C722" s="9" t="n">
        <v>3.96</v>
      </c>
      <c r="D722" t="n">
        <v>3</v>
      </c>
      <c r="E722" t="n">
        <v>0</v>
      </c>
      <c r="F722" t="n">
        <v>0</v>
      </c>
      <c r="G722" s="10" t="n">
        <v>1780</v>
      </c>
      <c r="H722" t="n">
        <v>1</v>
      </c>
      <c r="I722" s="11">
        <f>C722-CGPA_Mean</f>
        <v/>
      </c>
      <c r="J722">
        <f>D722</f>
        <v/>
      </c>
      <c r="K722">
        <f>E722</f>
        <v/>
      </c>
      <c r="L722">
        <f>F722</f>
        <v/>
      </c>
      <c r="M722" s="11">
        <f>I722*K722</f>
        <v/>
      </c>
      <c r="N722" s="12">
        <f>LN(G722)</f>
        <v/>
      </c>
      <c r="O722" s="12">
        <f>H722*Beta_0+I722*Beta_1+J722*Beta_2+K722*Beta_3+L722*Beta_4+M722*Beta_5</f>
        <v/>
      </c>
      <c r="P722" s="12">
        <f>N722-O722</f>
        <v/>
      </c>
      <c r="Q722" s="13">
        <f>EXP(O722)*Smearing_Factor</f>
        <v/>
      </c>
    </row>
    <row r="723">
      <c r="A723" t="n">
        <v>722</v>
      </c>
      <c r="B723" t="inlineStr">
        <is>
          <t>Education</t>
        </is>
      </c>
      <c r="C723" s="9" t="n">
        <v>3.4</v>
      </c>
      <c r="D723" t="n">
        <v>3</v>
      </c>
      <c r="E723" t="n">
        <v>0</v>
      </c>
      <c r="F723" t="n">
        <v>0</v>
      </c>
      <c r="G723" s="10" t="n">
        <v>1580</v>
      </c>
      <c r="H723" t="n">
        <v>1</v>
      </c>
      <c r="I723" s="11">
        <f>C723-CGPA_Mean</f>
        <v/>
      </c>
      <c r="J723">
        <f>D723</f>
        <v/>
      </c>
      <c r="K723">
        <f>E723</f>
        <v/>
      </c>
      <c r="L723">
        <f>F723</f>
        <v/>
      </c>
      <c r="M723" s="11">
        <f>I723*K723</f>
        <v/>
      </c>
      <c r="N723" s="12">
        <f>LN(G723)</f>
        <v/>
      </c>
      <c r="O723" s="12">
        <f>H723*Beta_0+I723*Beta_1+J723*Beta_2+K723*Beta_3+L723*Beta_4+M723*Beta_5</f>
        <v/>
      </c>
      <c r="P723" s="12">
        <f>N723-O723</f>
        <v/>
      </c>
      <c r="Q723" s="13">
        <f>EXP(O723)*Smearing_Factor</f>
        <v/>
      </c>
    </row>
    <row r="724">
      <c r="A724" t="n">
        <v>723</v>
      </c>
      <c r="B724" t="inlineStr">
        <is>
          <t>Information and communication technologies</t>
        </is>
      </c>
      <c r="C724" s="9" t="n">
        <v>3.82</v>
      </c>
      <c r="D724" t="n">
        <v>3</v>
      </c>
      <c r="E724" t="n">
        <v>1</v>
      </c>
      <c r="F724" t="n">
        <v>1</v>
      </c>
      <c r="G724" s="10" t="n">
        <v>3620</v>
      </c>
      <c r="H724" t="n">
        <v>1</v>
      </c>
      <c r="I724" s="11">
        <f>C724-CGPA_Mean</f>
        <v/>
      </c>
      <c r="J724">
        <f>D724</f>
        <v/>
      </c>
      <c r="K724">
        <f>E724</f>
        <v/>
      </c>
      <c r="L724">
        <f>F724</f>
        <v/>
      </c>
      <c r="M724" s="11">
        <f>I724*K724</f>
        <v/>
      </c>
      <c r="N724" s="12">
        <f>LN(G724)</f>
        <v/>
      </c>
      <c r="O724" s="12">
        <f>H724*Beta_0+I724*Beta_1+J724*Beta_2+K724*Beta_3+L724*Beta_4+M724*Beta_5</f>
        <v/>
      </c>
      <c r="P724" s="12">
        <f>N724-O724</f>
        <v/>
      </c>
      <c r="Q724" s="13">
        <f>EXP(O724)*Smearing_Factor</f>
        <v/>
      </c>
    </row>
    <row r="725">
      <c r="A725" t="n">
        <v>724</v>
      </c>
      <c r="B725" t="inlineStr">
        <is>
          <t>Arts and humanities</t>
        </is>
      </c>
      <c r="C725" s="9" t="n">
        <v>3.32</v>
      </c>
      <c r="D725" t="n">
        <v>3</v>
      </c>
      <c r="E725" t="n">
        <v>0</v>
      </c>
      <c r="F725" t="n">
        <v>0</v>
      </c>
      <c r="G725" s="10" t="n">
        <v>2510</v>
      </c>
      <c r="H725" t="n">
        <v>1</v>
      </c>
      <c r="I725" s="11">
        <f>C725-CGPA_Mean</f>
        <v/>
      </c>
      <c r="J725">
        <f>D725</f>
        <v/>
      </c>
      <c r="K725">
        <f>E725</f>
        <v/>
      </c>
      <c r="L725">
        <f>F725</f>
        <v/>
      </c>
      <c r="M725" s="11">
        <f>I725*K725</f>
        <v/>
      </c>
      <c r="N725" s="12">
        <f>LN(G725)</f>
        <v/>
      </c>
      <c r="O725" s="12">
        <f>H725*Beta_0+I725*Beta_1+J725*Beta_2+K725*Beta_3+L725*Beta_4+M725*Beta_5</f>
        <v/>
      </c>
      <c r="P725" s="12">
        <f>N725-O725</f>
        <v/>
      </c>
      <c r="Q725" s="13">
        <f>EXP(O725)*Smearing_Factor</f>
        <v/>
      </c>
    </row>
    <row r="726">
      <c r="A726" t="n">
        <v>725</v>
      </c>
      <c r="B726" t="inlineStr">
        <is>
          <t>Education</t>
        </is>
      </c>
      <c r="C726" s="9" t="n">
        <v>2.34</v>
      </c>
      <c r="D726" t="n">
        <v>6</v>
      </c>
      <c r="E726" t="n">
        <v>0</v>
      </c>
      <c r="F726" t="n">
        <v>0</v>
      </c>
      <c r="G726" s="10" t="n">
        <v>590</v>
      </c>
      <c r="H726" t="n">
        <v>1</v>
      </c>
      <c r="I726" s="11">
        <f>C726-CGPA_Mean</f>
        <v/>
      </c>
      <c r="J726">
        <f>D726</f>
        <v/>
      </c>
      <c r="K726">
        <f>E726</f>
        <v/>
      </c>
      <c r="L726">
        <f>F726</f>
        <v/>
      </c>
      <c r="M726" s="11">
        <f>I726*K726</f>
        <v/>
      </c>
      <c r="N726" s="12">
        <f>LN(G726)</f>
        <v/>
      </c>
      <c r="O726" s="12">
        <f>H726*Beta_0+I726*Beta_1+J726*Beta_2+K726*Beta_3+L726*Beta_4+M726*Beta_5</f>
        <v/>
      </c>
      <c r="P726" s="12">
        <f>N726-O726</f>
        <v/>
      </c>
      <c r="Q726" s="13">
        <f>EXP(O726)*Smearing_Factor</f>
        <v/>
      </c>
    </row>
    <row r="727">
      <c r="A727" t="n">
        <v>726</v>
      </c>
      <c r="B727" t="inlineStr">
        <is>
          <t>Business, administration and law</t>
        </is>
      </c>
      <c r="C727" s="9" t="n">
        <v>2.96</v>
      </c>
      <c r="D727" t="n">
        <v>9</v>
      </c>
      <c r="E727" t="n">
        <v>0</v>
      </c>
      <c r="F727" t="n">
        <v>0</v>
      </c>
      <c r="G727" s="10" t="n">
        <v>3500</v>
      </c>
      <c r="H727" t="n">
        <v>1</v>
      </c>
      <c r="I727" s="11">
        <f>C727-CGPA_Mean</f>
        <v/>
      </c>
      <c r="J727">
        <f>D727</f>
        <v/>
      </c>
      <c r="K727">
        <f>E727</f>
        <v/>
      </c>
      <c r="L727">
        <f>F727</f>
        <v/>
      </c>
      <c r="M727" s="11">
        <f>I727*K727</f>
        <v/>
      </c>
      <c r="N727" s="12">
        <f>LN(G727)</f>
        <v/>
      </c>
      <c r="O727" s="12">
        <f>H727*Beta_0+I727*Beta_1+J727*Beta_2+K727*Beta_3+L727*Beta_4+M727*Beta_5</f>
        <v/>
      </c>
      <c r="P727" s="12">
        <f>N727-O727</f>
        <v/>
      </c>
      <c r="Q727" s="13">
        <f>EXP(O727)*Smearing_Factor</f>
        <v/>
      </c>
    </row>
    <row r="728">
      <c r="A728" t="n">
        <v>727</v>
      </c>
      <c r="B728" t="inlineStr">
        <is>
          <t>Business, administration and law</t>
        </is>
      </c>
      <c r="C728" s="9" t="n">
        <v>3.05</v>
      </c>
      <c r="D728" t="n">
        <v>6</v>
      </c>
      <c r="E728" t="n">
        <v>0</v>
      </c>
      <c r="F728" t="n">
        <v>1</v>
      </c>
      <c r="G728" s="10" t="n">
        <v>2430</v>
      </c>
      <c r="H728" t="n">
        <v>1</v>
      </c>
      <c r="I728" s="11">
        <f>C728-CGPA_Mean</f>
        <v/>
      </c>
      <c r="J728">
        <f>D728</f>
        <v/>
      </c>
      <c r="K728">
        <f>E728</f>
        <v/>
      </c>
      <c r="L728">
        <f>F728</f>
        <v/>
      </c>
      <c r="M728" s="11">
        <f>I728*K728</f>
        <v/>
      </c>
      <c r="N728" s="12">
        <f>LN(G728)</f>
        <v/>
      </c>
      <c r="O728" s="12">
        <f>H728*Beta_0+I728*Beta_1+J728*Beta_2+K728*Beta_3+L728*Beta_4+M728*Beta_5</f>
        <v/>
      </c>
      <c r="P728" s="12">
        <f>N728-O728</f>
        <v/>
      </c>
      <c r="Q728" s="13">
        <f>EXP(O728)*Smearing_Factor</f>
        <v/>
      </c>
    </row>
    <row r="729">
      <c r="A729" t="n">
        <v>728</v>
      </c>
      <c r="B729" t="inlineStr">
        <is>
          <t>Business, administration and law</t>
        </is>
      </c>
      <c r="C729" s="9" t="n">
        <v>3.36</v>
      </c>
      <c r="D729" t="n">
        <v>3</v>
      </c>
      <c r="E729" t="n">
        <v>0</v>
      </c>
      <c r="F729" t="n">
        <v>0</v>
      </c>
      <c r="G729" s="10" t="n">
        <v>3400</v>
      </c>
      <c r="H729" t="n">
        <v>1</v>
      </c>
      <c r="I729" s="11">
        <f>C729-CGPA_Mean</f>
        <v/>
      </c>
      <c r="J729">
        <f>D729</f>
        <v/>
      </c>
      <c r="K729">
        <f>E729</f>
        <v/>
      </c>
      <c r="L729">
        <f>F729</f>
        <v/>
      </c>
      <c r="M729" s="11">
        <f>I729*K729</f>
        <v/>
      </c>
      <c r="N729" s="12">
        <f>LN(G729)</f>
        <v/>
      </c>
      <c r="O729" s="12">
        <f>H729*Beta_0+I729*Beta_1+J729*Beta_2+K729*Beta_3+L729*Beta_4+M729*Beta_5</f>
        <v/>
      </c>
      <c r="P729" s="12">
        <f>N729-O729</f>
        <v/>
      </c>
      <c r="Q729" s="13">
        <f>EXP(O729)*Smearing_Factor</f>
        <v/>
      </c>
    </row>
    <row r="730">
      <c r="A730" t="n">
        <v>729</v>
      </c>
      <c r="B730" t="inlineStr">
        <is>
          <t>Information and communication technologies</t>
        </is>
      </c>
      <c r="C730" s="9" t="n">
        <v>3.26</v>
      </c>
      <c r="D730" t="n">
        <v>6</v>
      </c>
      <c r="E730" t="n">
        <v>1</v>
      </c>
      <c r="F730" t="n">
        <v>0</v>
      </c>
      <c r="G730" s="10" t="n">
        <v>3250</v>
      </c>
      <c r="H730" t="n">
        <v>1</v>
      </c>
      <c r="I730" s="11">
        <f>C730-CGPA_Mean</f>
        <v/>
      </c>
      <c r="J730">
        <f>D730</f>
        <v/>
      </c>
      <c r="K730">
        <f>E730</f>
        <v/>
      </c>
      <c r="L730">
        <f>F730</f>
        <v/>
      </c>
      <c r="M730" s="11">
        <f>I730*K730</f>
        <v/>
      </c>
      <c r="N730" s="12">
        <f>LN(G730)</f>
        <v/>
      </c>
      <c r="O730" s="12">
        <f>H730*Beta_0+I730*Beta_1+J730*Beta_2+K730*Beta_3+L730*Beta_4+M730*Beta_5</f>
        <v/>
      </c>
      <c r="P730" s="12">
        <f>N730-O730</f>
        <v/>
      </c>
      <c r="Q730" s="13">
        <f>EXP(O730)*Smearing_Factor</f>
        <v/>
      </c>
    </row>
    <row r="731">
      <c r="A731" t="n">
        <v>730</v>
      </c>
      <c r="B731" t="inlineStr">
        <is>
          <t>Engineering, manufacturing and construction</t>
        </is>
      </c>
      <c r="C731" s="9" t="n">
        <v>2.93</v>
      </c>
      <c r="D731" t="n">
        <v>9</v>
      </c>
      <c r="E731" t="n">
        <v>1</v>
      </c>
      <c r="F731" t="n">
        <v>1</v>
      </c>
      <c r="G731" s="10" t="n">
        <v>3590</v>
      </c>
      <c r="H731" t="n">
        <v>1</v>
      </c>
      <c r="I731" s="11">
        <f>C731-CGPA_Mean</f>
        <v/>
      </c>
      <c r="J731">
        <f>D731</f>
        <v/>
      </c>
      <c r="K731">
        <f>E731</f>
        <v/>
      </c>
      <c r="L731">
        <f>F731</f>
        <v/>
      </c>
      <c r="M731" s="11">
        <f>I731*K731</f>
        <v/>
      </c>
      <c r="N731" s="12">
        <f>LN(G731)</f>
        <v/>
      </c>
      <c r="O731" s="12">
        <f>H731*Beta_0+I731*Beta_1+J731*Beta_2+K731*Beta_3+L731*Beta_4+M731*Beta_5</f>
        <v/>
      </c>
      <c r="P731" s="12">
        <f>N731-O731</f>
        <v/>
      </c>
      <c r="Q731" s="13">
        <f>EXP(O731)*Smearing_Factor</f>
        <v/>
      </c>
    </row>
    <row r="732">
      <c r="A732" t="n">
        <v>731</v>
      </c>
      <c r="B732" t="inlineStr">
        <is>
          <t>Social sciences, journalism and information</t>
        </is>
      </c>
      <c r="C732" s="9" t="n">
        <v>3.2</v>
      </c>
      <c r="D732" t="n">
        <v>9</v>
      </c>
      <c r="E732" t="n">
        <v>0</v>
      </c>
      <c r="F732" t="n">
        <v>0</v>
      </c>
      <c r="G732" s="10" t="n">
        <v>1800</v>
      </c>
      <c r="H732" t="n">
        <v>1</v>
      </c>
      <c r="I732" s="11">
        <f>C732-CGPA_Mean</f>
        <v/>
      </c>
      <c r="J732">
        <f>D732</f>
        <v/>
      </c>
      <c r="K732">
        <f>E732</f>
        <v/>
      </c>
      <c r="L732">
        <f>F732</f>
        <v/>
      </c>
      <c r="M732" s="11">
        <f>I732*K732</f>
        <v/>
      </c>
      <c r="N732" s="12">
        <f>LN(G732)</f>
        <v/>
      </c>
      <c r="O732" s="12">
        <f>H732*Beta_0+I732*Beta_1+J732*Beta_2+K732*Beta_3+L732*Beta_4+M732*Beta_5</f>
        <v/>
      </c>
      <c r="P732" s="12">
        <f>N732-O732</f>
        <v/>
      </c>
      <c r="Q732" s="13">
        <f>EXP(O732)*Smearing_Factor</f>
        <v/>
      </c>
    </row>
    <row r="733">
      <c r="A733" t="n">
        <v>732</v>
      </c>
      <c r="B733" t="inlineStr">
        <is>
          <t>Business, administration and law</t>
        </is>
      </c>
      <c r="C733" s="9" t="n">
        <v>2.35</v>
      </c>
      <c r="D733" t="n">
        <v>9</v>
      </c>
      <c r="E733" t="n">
        <v>0</v>
      </c>
      <c r="F733" t="n">
        <v>0</v>
      </c>
      <c r="G733" s="10" t="n">
        <v>4950</v>
      </c>
      <c r="H733" t="n">
        <v>1</v>
      </c>
      <c r="I733" s="11">
        <f>C733-CGPA_Mean</f>
        <v/>
      </c>
      <c r="J733">
        <f>D733</f>
        <v/>
      </c>
      <c r="K733">
        <f>E733</f>
        <v/>
      </c>
      <c r="L733">
        <f>F733</f>
        <v/>
      </c>
      <c r="M733" s="11">
        <f>I733*K733</f>
        <v/>
      </c>
      <c r="N733" s="12">
        <f>LN(G733)</f>
        <v/>
      </c>
      <c r="O733" s="12">
        <f>H733*Beta_0+I733*Beta_1+J733*Beta_2+K733*Beta_3+L733*Beta_4+M733*Beta_5</f>
        <v/>
      </c>
      <c r="P733" s="12">
        <f>N733-O733</f>
        <v/>
      </c>
      <c r="Q733" s="13">
        <f>EXP(O733)*Smearing_Factor</f>
        <v/>
      </c>
    </row>
    <row r="734">
      <c r="A734" t="n">
        <v>733</v>
      </c>
      <c r="B734" t="inlineStr">
        <is>
          <t>Information and communication technologies</t>
        </is>
      </c>
      <c r="C734" s="9" t="n">
        <v>3.11</v>
      </c>
      <c r="D734" t="n">
        <v>3</v>
      </c>
      <c r="E734" t="n">
        <v>1</v>
      </c>
      <c r="F734" t="n">
        <v>1</v>
      </c>
      <c r="G734" s="10" t="n">
        <v>9380</v>
      </c>
      <c r="H734" t="n">
        <v>1</v>
      </c>
      <c r="I734" s="11">
        <f>C734-CGPA_Mean</f>
        <v/>
      </c>
      <c r="J734">
        <f>D734</f>
        <v/>
      </c>
      <c r="K734">
        <f>E734</f>
        <v/>
      </c>
      <c r="L734">
        <f>F734</f>
        <v/>
      </c>
      <c r="M734" s="11">
        <f>I734*K734</f>
        <v/>
      </c>
      <c r="N734" s="12">
        <f>LN(G734)</f>
        <v/>
      </c>
      <c r="O734" s="12">
        <f>H734*Beta_0+I734*Beta_1+J734*Beta_2+K734*Beta_3+L734*Beta_4+M734*Beta_5</f>
        <v/>
      </c>
      <c r="P734" s="12">
        <f>N734-O734</f>
        <v/>
      </c>
      <c r="Q734" s="13">
        <f>EXP(O734)*Smearing_Factor</f>
        <v/>
      </c>
    </row>
    <row r="735">
      <c r="A735" t="n">
        <v>734</v>
      </c>
      <c r="B735" t="inlineStr">
        <is>
          <t>Business, administration and law</t>
        </is>
      </c>
      <c r="C735" s="9" t="n">
        <v>3.14</v>
      </c>
      <c r="D735" t="n">
        <v>9</v>
      </c>
      <c r="E735" t="n">
        <v>0</v>
      </c>
      <c r="F735" t="n">
        <v>1</v>
      </c>
      <c r="G735" s="10" t="n">
        <v>3250</v>
      </c>
      <c r="H735" t="n">
        <v>1</v>
      </c>
      <c r="I735" s="11">
        <f>C735-CGPA_Mean</f>
        <v/>
      </c>
      <c r="J735">
        <f>D735</f>
        <v/>
      </c>
      <c r="K735">
        <f>E735</f>
        <v/>
      </c>
      <c r="L735">
        <f>F735</f>
        <v/>
      </c>
      <c r="M735" s="11">
        <f>I735*K735</f>
        <v/>
      </c>
      <c r="N735" s="12">
        <f>LN(G735)</f>
        <v/>
      </c>
      <c r="O735" s="12">
        <f>H735*Beta_0+I735*Beta_1+J735*Beta_2+K735*Beta_3+L735*Beta_4+M735*Beta_5</f>
        <v/>
      </c>
      <c r="P735" s="12">
        <f>N735-O735</f>
        <v/>
      </c>
      <c r="Q735" s="13">
        <f>EXP(O735)*Smearing_Factor</f>
        <v/>
      </c>
    </row>
    <row r="736">
      <c r="A736" t="n">
        <v>735</v>
      </c>
      <c r="B736" t="inlineStr">
        <is>
          <t>Engineering, manufacturing and construction</t>
        </is>
      </c>
      <c r="C736" s="9" t="n">
        <v>3.77</v>
      </c>
      <c r="D736" t="n">
        <v>6</v>
      </c>
      <c r="E736" t="n">
        <v>1</v>
      </c>
      <c r="F736" t="n">
        <v>0</v>
      </c>
      <c r="G736" s="10" t="n">
        <v>4730</v>
      </c>
      <c r="H736" t="n">
        <v>1</v>
      </c>
      <c r="I736" s="11">
        <f>C736-CGPA_Mean</f>
        <v/>
      </c>
      <c r="J736">
        <f>D736</f>
        <v/>
      </c>
      <c r="K736">
        <f>E736</f>
        <v/>
      </c>
      <c r="L736">
        <f>F736</f>
        <v/>
      </c>
      <c r="M736" s="11">
        <f>I736*K736</f>
        <v/>
      </c>
      <c r="N736" s="12">
        <f>LN(G736)</f>
        <v/>
      </c>
      <c r="O736" s="12">
        <f>H736*Beta_0+I736*Beta_1+J736*Beta_2+K736*Beta_3+L736*Beta_4+M736*Beta_5</f>
        <v/>
      </c>
      <c r="P736" s="12">
        <f>N736-O736</f>
        <v/>
      </c>
      <c r="Q736" s="13">
        <f>EXP(O736)*Smearing_Factor</f>
        <v/>
      </c>
    </row>
    <row r="737">
      <c r="A737" t="n">
        <v>736</v>
      </c>
      <c r="B737" t="inlineStr">
        <is>
          <t>Business, administration and law</t>
        </is>
      </c>
      <c r="C737" s="9" t="n">
        <v>3.31</v>
      </c>
      <c r="D737" t="n">
        <v>6</v>
      </c>
      <c r="E737" t="n">
        <v>0</v>
      </c>
      <c r="F737" t="n">
        <v>1</v>
      </c>
      <c r="G737" s="10" t="n">
        <v>3830</v>
      </c>
      <c r="H737" t="n">
        <v>1</v>
      </c>
      <c r="I737" s="11">
        <f>C737-CGPA_Mean</f>
        <v/>
      </c>
      <c r="J737">
        <f>D737</f>
        <v/>
      </c>
      <c r="K737">
        <f>E737</f>
        <v/>
      </c>
      <c r="L737">
        <f>F737</f>
        <v/>
      </c>
      <c r="M737" s="11">
        <f>I737*K737</f>
        <v/>
      </c>
      <c r="N737" s="12">
        <f>LN(G737)</f>
        <v/>
      </c>
      <c r="O737" s="12">
        <f>H737*Beta_0+I737*Beta_1+J737*Beta_2+K737*Beta_3+L737*Beta_4+M737*Beta_5</f>
        <v/>
      </c>
      <c r="P737" s="12">
        <f>N737-O737</f>
        <v/>
      </c>
      <c r="Q737" s="13">
        <f>EXP(O737)*Smearing_Factor</f>
        <v/>
      </c>
    </row>
    <row r="738">
      <c r="A738" t="n">
        <v>737</v>
      </c>
      <c r="B738" t="inlineStr">
        <is>
          <t>Business, administration and law</t>
        </is>
      </c>
      <c r="C738" s="9" t="n">
        <v>3.14</v>
      </c>
      <c r="D738" t="n">
        <v>6</v>
      </c>
      <c r="E738" t="n">
        <v>0</v>
      </c>
      <c r="F738" t="n">
        <v>0</v>
      </c>
      <c r="G738" s="10" t="n">
        <v>3640</v>
      </c>
      <c r="H738" t="n">
        <v>1</v>
      </c>
      <c r="I738" s="11">
        <f>C738-CGPA_Mean</f>
        <v/>
      </c>
      <c r="J738">
        <f>D738</f>
        <v/>
      </c>
      <c r="K738">
        <f>E738</f>
        <v/>
      </c>
      <c r="L738">
        <f>F738</f>
        <v/>
      </c>
      <c r="M738" s="11">
        <f>I738*K738</f>
        <v/>
      </c>
      <c r="N738" s="12">
        <f>LN(G738)</f>
        <v/>
      </c>
      <c r="O738" s="12">
        <f>H738*Beta_0+I738*Beta_1+J738*Beta_2+K738*Beta_3+L738*Beta_4+M738*Beta_5</f>
        <v/>
      </c>
      <c r="P738" s="12">
        <f>N738-O738</f>
        <v/>
      </c>
      <c r="Q738" s="13">
        <f>EXP(O738)*Smearing_Factor</f>
        <v/>
      </c>
    </row>
    <row r="739">
      <c r="A739" t="n">
        <v>738</v>
      </c>
      <c r="B739" t="inlineStr">
        <is>
          <t>Information and communication technologies</t>
        </is>
      </c>
      <c r="C739" s="9" t="n">
        <v>2.92</v>
      </c>
      <c r="D739" t="n">
        <v>6</v>
      </c>
      <c r="E739" t="n">
        <v>1</v>
      </c>
      <c r="F739" t="n">
        <v>0</v>
      </c>
      <c r="G739" s="10" t="n">
        <v>2590</v>
      </c>
      <c r="H739" t="n">
        <v>1</v>
      </c>
      <c r="I739" s="11">
        <f>C739-CGPA_Mean</f>
        <v/>
      </c>
      <c r="J739">
        <f>D739</f>
        <v/>
      </c>
      <c r="K739">
        <f>E739</f>
        <v/>
      </c>
      <c r="L739">
        <f>F739</f>
        <v/>
      </c>
      <c r="M739" s="11">
        <f>I739*K739</f>
        <v/>
      </c>
      <c r="N739" s="12">
        <f>LN(G739)</f>
        <v/>
      </c>
      <c r="O739" s="12">
        <f>H739*Beta_0+I739*Beta_1+J739*Beta_2+K739*Beta_3+L739*Beta_4+M739*Beta_5</f>
        <v/>
      </c>
      <c r="P739" s="12">
        <f>N739-O739</f>
        <v/>
      </c>
      <c r="Q739" s="13">
        <f>EXP(O739)*Smearing_Factor</f>
        <v/>
      </c>
    </row>
    <row r="740">
      <c r="A740" t="n">
        <v>739</v>
      </c>
      <c r="B740" t="inlineStr">
        <is>
          <t>Agriculture, forestry, fisheries and veterinary</t>
        </is>
      </c>
      <c r="C740" s="9" t="n">
        <v>3.29</v>
      </c>
      <c r="D740" t="n">
        <v>6</v>
      </c>
      <c r="E740" t="n">
        <v>0</v>
      </c>
      <c r="F740" t="n">
        <v>0</v>
      </c>
      <c r="G740" s="10" t="n">
        <v>3350</v>
      </c>
      <c r="H740" t="n">
        <v>1</v>
      </c>
      <c r="I740" s="11">
        <f>C740-CGPA_Mean</f>
        <v/>
      </c>
      <c r="J740">
        <f>D740</f>
        <v/>
      </c>
      <c r="K740">
        <f>E740</f>
        <v/>
      </c>
      <c r="L740">
        <f>F740</f>
        <v/>
      </c>
      <c r="M740" s="11">
        <f>I740*K740</f>
        <v/>
      </c>
      <c r="N740" s="12">
        <f>LN(G740)</f>
        <v/>
      </c>
      <c r="O740" s="12">
        <f>H740*Beta_0+I740*Beta_1+J740*Beta_2+K740*Beta_3+L740*Beta_4+M740*Beta_5</f>
        <v/>
      </c>
      <c r="P740" s="12">
        <f>N740-O740</f>
        <v/>
      </c>
      <c r="Q740" s="13">
        <f>EXP(O740)*Smearing_Factor</f>
        <v/>
      </c>
    </row>
    <row r="741">
      <c r="A741" t="n">
        <v>740</v>
      </c>
      <c r="B741" t="inlineStr">
        <is>
          <t>Engineering, manufacturing and construction</t>
        </is>
      </c>
      <c r="C741" s="9" t="n">
        <v>2.77</v>
      </c>
      <c r="D741" t="n">
        <v>6</v>
      </c>
      <c r="E741" t="n">
        <v>1</v>
      </c>
      <c r="F741" t="n">
        <v>0</v>
      </c>
      <c r="G741" s="10" t="n">
        <v>2850</v>
      </c>
      <c r="H741" t="n">
        <v>1</v>
      </c>
      <c r="I741" s="11">
        <f>C741-CGPA_Mean</f>
        <v/>
      </c>
      <c r="J741">
        <f>D741</f>
        <v/>
      </c>
      <c r="K741">
        <f>E741</f>
        <v/>
      </c>
      <c r="L741">
        <f>F741</f>
        <v/>
      </c>
      <c r="M741" s="11">
        <f>I741*K741</f>
        <v/>
      </c>
      <c r="N741" s="12">
        <f>LN(G741)</f>
        <v/>
      </c>
      <c r="O741" s="12">
        <f>H741*Beta_0+I741*Beta_1+J741*Beta_2+K741*Beta_3+L741*Beta_4+M741*Beta_5</f>
        <v/>
      </c>
      <c r="P741" s="12">
        <f>N741-O741</f>
        <v/>
      </c>
      <c r="Q741" s="13">
        <f>EXP(O741)*Smearing_Factor</f>
        <v/>
      </c>
    </row>
    <row r="742">
      <c r="A742" t="n">
        <v>741</v>
      </c>
      <c r="B742" t="inlineStr">
        <is>
          <t>Services</t>
        </is>
      </c>
      <c r="C742" s="9" t="n">
        <v>3.17</v>
      </c>
      <c r="D742" t="n">
        <v>3</v>
      </c>
      <c r="E742" t="n">
        <v>0</v>
      </c>
      <c r="F742" t="n">
        <v>0</v>
      </c>
      <c r="G742" s="10" t="n">
        <v>1920</v>
      </c>
      <c r="H742" t="n">
        <v>1</v>
      </c>
      <c r="I742" s="11">
        <f>C742-CGPA_Mean</f>
        <v/>
      </c>
      <c r="J742">
        <f>D742</f>
        <v/>
      </c>
      <c r="K742">
        <f>E742</f>
        <v/>
      </c>
      <c r="L742">
        <f>F742</f>
        <v/>
      </c>
      <c r="M742" s="11">
        <f>I742*K742</f>
        <v/>
      </c>
      <c r="N742" s="12">
        <f>LN(G742)</f>
        <v/>
      </c>
      <c r="O742" s="12">
        <f>H742*Beta_0+I742*Beta_1+J742*Beta_2+K742*Beta_3+L742*Beta_4+M742*Beta_5</f>
        <v/>
      </c>
      <c r="P742" s="12">
        <f>N742-O742</f>
        <v/>
      </c>
      <c r="Q742" s="13">
        <f>EXP(O742)*Smearing_Factor</f>
        <v/>
      </c>
    </row>
    <row r="743">
      <c r="A743" t="n">
        <v>742</v>
      </c>
      <c r="B743" t="inlineStr">
        <is>
          <t>Engineering, manufacturing and construction</t>
        </is>
      </c>
      <c r="C743" s="9" t="n">
        <v>3.39</v>
      </c>
      <c r="D743" t="n">
        <v>6</v>
      </c>
      <c r="E743" t="n">
        <v>1</v>
      </c>
      <c r="F743" t="n">
        <v>0</v>
      </c>
      <c r="G743" s="10" t="n">
        <v>1670</v>
      </c>
      <c r="H743" t="n">
        <v>1</v>
      </c>
      <c r="I743" s="11">
        <f>C743-CGPA_Mean</f>
        <v/>
      </c>
      <c r="J743">
        <f>D743</f>
        <v/>
      </c>
      <c r="K743">
        <f>E743</f>
        <v/>
      </c>
      <c r="L743">
        <f>F743</f>
        <v/>
      </c>
      <c r="M743" s="11">
        <f>I743*K743</f>
        <v/>
      </c>
      <c r="N743" s="12">
        <f>LN(G743)</f>
        <v/>
      </c>
      <c r="O743" s="12">
        <f>H743*Beta_0+I743*Beta_1+J743*Beta_2+K743*Beta_3+L743*Beta_4+M743*Beta_5</f>
        <v/>
      </c>
      <c r="P743" s="12">
        <f>N743-O743</f>
        <v/>
      </c>
      <c r="Q743" s="13">
        <f>EXP(O743)*Smearing_Factor</f>
        <v/>
      </c>
    </row>
    <row r="744">
      <c r="A744" t="n">
        <v>743</v>
      </c>
      <c r="B744" t="inlineStr">
        <is>
          <t>Engineering, manufacturing and construction</t>
        </is>
      </c>
      <c r="C744" s="9" t="n">
        <v>3.48</v>
      </c>
      <c r="D744" t="n">
        <v>6</v>
      </c>
      <c r="E744" t="n">
        <v>1</v>
      </c>
      <c r="F744" t="n">
        <v>0</v>
      </c>
      <c r="G744" s="10" t="n">
        <v>2410</v>
      </c>
      <c r="H744" t="n">
        <v>1</v>
      </c>
      <c r="I744" s="11">
        <f>C744-CGPA_Mean</f>
        <v/>
      </c>
      <c r="J744">
        <f>D744</f>
        <v/>
      </c>
      <c r="K744">
        <f>E744</f>
        <v/>
      </c>
      <c r="L744">
        <f>F744</f>
        <v/>
      </c>
      <c r="M744" s="11">
        <f>I744*K744</f>
        <v/>
      </c>
      <c r="N744" s="12">
        <f>LN(G744)</f>
        <v/>
      </c>
      <c r="O744" s="12">
        <f>H744*Beta_0+I744*Beta_1+J744*Beta_2+K744*Beta_3+L744*Beta_4+M744*Beta_5</f>
        <v/>
      </c>
      <c r="P744" s="12">
        <f>N744-O744</f>
        <v/>
      </c>
      <c r="Q744" s="13">
        <f>EXP(O744)*Smearing_Factor</f>
        <v/>
      </c>
    </row>
    <row r="745">
      <c r="A745" t="n">
        <v>744</v>
      </c>
      <c r="B745" t="inlineStr">
        <is>
          <t>Engineering, manufacturing and construction</t>
        </is>
      </c>
      <c r="C745" s="9" t="n">
        <v>3.38</v>
      </c>
      <c r="D745" t="n">
        <v>9</v>
      </c>
      <c r="E745" t="n">
        <v>1</v>
      </c>
      <c r="F745" t="n">
        <v>0</v>
      </c>
      <c r="G745" s="10" t="n">
        <v>3870</v>
      </c>
      <c r="H745" t="n">
        <v>1</v>
      </c>
      <c r="I745" s="11">
        <f>C745-CGPA_Mean</f>
        <v/>
      </c>
      <c r="J745">
        <f>D745</f>
        <v/>
      </c>
      <c r="K745">
        <f>E745</f>
        <v/>
      </c>
      <c r="L745">
        <f>F745</f>
        <v/>
      </c>
      <c r="M745" s="11">
        <f>I745*K745</f>
        <v/>
      </c>
      <c r="N745" s="12">
        <f>LN(G745)</f>
        <v/>
      </c>
      <c r="O745" s="12">
        <f>H745*Beta_0+I745*Beta_1+J745*Beta_2+K745*Beta_3+L745*Beta_4+M745*Beta_5</f>
        <v/>
      </c>
      <c r="P745" s="12">
        <f>N745-O745</f>
        <v/>
      </c>
      <c r="Q745" s="13">
        <f>EXP(O745)*Smearing_Factor</f>
        <v/>
      </c>
    </row>
    <row r="746">
      <c r="A746" t="n">
        <v>745</v>
      </c>
      <c r="B746" t="inlineStr">
        <is>
          <t>Business, administration and law</t>
        </is>
      </c>
      <c r="C746" s="9" t="n">
        <v>3.51</v>
      </c>
      <c r="D746" t="n">
        <v>3</v>
      </c>
      <c r="E746" t="n">
        <v>0</v>
      </c>
      <c r="F746" t="n">
        <v>1</v>
      </c>
      <c r="G746" s="10" t="n">
        <v>2960</v>
      </c>
      <c r="H746" t="n">
        <v>1</v>
      </c>
      <c r="I746" s="11">
        <f>C746-CGPA_Mean</f>
        <v/>
      </c>
      <c r="J746">
        <f>D746</f>
        <v/>
      </c>
      <c r="K746">
        <f>E746</f>
        <v/>
      </c>
      <c r="L746">
        <f>F746</f>
        <v/>
      </c>
      <c r="M746" s="11">
        <f>I746*K746</f>
        <v/>
      </c>
      <c r="N746" s="12">
        <f>LN(G746)</f>
        <v/>
      </c>
      <c r="O746" s="12">
        <f>H746*Beta_0+I746*Beta_1+J746*Beta_2+K746*Beta_3+L746*Beta_4+M746*Beta_5</f>
        <v/>
      </c>
      <c r="P746" s="12">
        <f>N746-O746</f>
        <v/>
      </c>
      <c r="Q746" s="13">
        <f>EXP(O746)*Smearing_Factor</f>
        <v/>
      </c>
    </row>
    <row r="747">
      <c r="A747" t="n">
        <v>746</v>
      </c>
      <c r="B747" t="inlineStr">
        <is>
          <t>Health and welfare</t>
        </is>
      </c>
      <c r="C747" s="9" t="n">
        <v>3.4</v>
      </c>
      <c r="D747" t="n">
        <v>9</v>
      </c>
      <c r="E747" t="n">
        <v>0</v>
      </c>
      <c r="F747" t="n">
        <v>1</v>
      </c>
      <c r="G747" s="10" t="n">
        <v>2950</v>
      </c>
      <c r="H747" t="n">
        <v>1</v>
      </c>
      <c r="I747" s="11">
        <f>C747-CGPA_Mean</f>
        <v/>
      </c>
      <c r="J747">
        <f>D747</f>
        <v/>
      </c>
      <c r="K747">
        <f>E747</f>
        <v/>
      </c>
      <c r="L747">
        <f>F747</f>
        <v/>
      </c>
      <c r="M747" s="11">
        <f>I747*K747</f>
        <v/>
      </c>
      <c r="N747" s="12">
        <f>LN(G747)</f>
        <v/>
      </c>
      <c r="O747" s="12">
        <f>H747*Beta_0+I747*Beta_1+J747*Beta_2+K747*Beta_3+L747*Beta_4+M747*Beta_5</f>
        <v/>
      </c>
      <c r="P747" s="12">
        <f>N747-O747</f>
        <v/>
      </c>
      <c r="Q747" s="13">
        <f>EXP(O747)*Smearing_Factor</f>
        <v/>
      </c>
    </row>
    <row r="748">
      <c r="A748" t="n">
        <v>747</v>
      </c>
      <c r="B748" t="inlineStr">
        <is>
          <t>Business, administration and law</t>
        </is>
      </c>
      <c r="C748" s="9" t="n">
        <v>2.7</v>
      </c>
      <c r="D748" t="n">
        <v>6</v>
      </c>
      <c r="E748" t="n">
        <v>0</v>
      </c>
      <c r="F748" t="n">
        <v>0</v>
      </c>
      <c r="G748" s="10" t="n">
        <v>2580</v>
      </c>
      <c r="H748" t="n">
        <v>1</v>
      </c>
      <c r="I748" s="11">
        <f>C748-CGPA_Mean</f>
        <v/>
      </c>
      <c r="J748">
        <f>D748</f>
        <v/>
      </c>
      <c r="K748">
        <f>E748</f>
        <v/>
      </c>
      <c r="L748">
        <f>F748</f>
        <v/>
      </c>
      <c r="M748" s="11">
        <f>I748*K748</f>
        <v/>
      </c>
      <c r="N748" s="12">
        <f>LN(G748)</f>
        <v/>
      </c>
      <c r="O748" s="12">
        <f>H748*Beta_0+I748*Beta_1+J748*Beta_2+K748*Beta_3+L748*Beta_4+M748*Beta_5</f>
        <v/>
      </c>
      <c r="P748" s="12">
        <f>N748-O748</f>
        <v/>
      </c>
      <c r="Q748" s="13">
        <f>EXP(O748)*Smearing_Factor</f>
        <v/>
      </c>
    </row>
    <row r="749">
      <c r="A749" t="n">
        <v>748</v>
      </c>
      <c r="B749" t="inlineStr">
        <is>
          <t>Business, administration and law</t>
        </is>
      </c>
      <c r="C749" s="9" t="n">
        <v>3.42</v>
      </c>
      <c r="D749" t="n">
        <v>6</v>
      </c>
      <c r="E749" t="n">
        <v>0</v>
      </c>
      <c r="F749" t="n">
        <v>0</v>
      </c>
      <c r="G749" s="10" t="n">
        <v>2100</v>
      </c>
      <c r="H749" t="n">
        <v>1</v>
      </c>
      <c r="I749" s="11">
        <f>C749-CGPA_Mean</f>
        <v/>
      </c>
      <c r="J749">
        <f>D749</f>
        <v/>
      </c>
      <c r="K749">
        <f>E749</f>
        <v/>
      </c>
      <c r="L749">
        <f>F749</f>
        <v/>
      </c>
      <c r="M749" s="11">
        <f>I749*K749</f>
        <v/>
      </c>
      <c r="N749" s="12">
        <f>LN(G749)</f>
        <v/>
      </c>
      <c r="O749" s="12">
        <f>H749*Beta_0+I749*Beta_1+J749*Beta_2+K749*Beta_3+L749*Beta_4+M749*Beta_5</f>
        <v/>
      </c>
      <c r="P749" s="12">
        <f>N749-O749</f>
        <v/>
      </c>
      <c r="Q749" s="13">
        <f>EXP(O749)*Smearing_Factor</f>
        <v/>
      </c>
    </row>
    <row r="750">
      <c r="A750" t="n">
        <v>749</v>
      </c>
      <c r="B750" t="inlineStr">
        <is>
          <t>Education</t>
        </is>
      </c>
      <c r="C750" s="9" t="n">
        <v>3.45</v>
      </c>
      <c r="D750" t="n">
        <v>6</v>
      </c>
      <c r="E750" t="n">
        <v>0</v>
      </c>
      <c r="F750" t="n">
        <v>0</v>
      </c>
      <c r="G750" s="10" t="n">
        <v>9360</v>
      </c>
      <c r="H750" t="n">
        <v>1</v>
      </c>
      <c r="I750" s="11">
        <f>C750-CGPA_Mean</f>
        <v/>
      </c>
      <c r="J750">
        <f>D750</f>
        <v/>
      </c>
      <c r="K750">
        <f>E750</f>
        <v/>
      </c>
      <c r="L750">
        <f>F750</f>
        <v/>
      </c>
      <c r="M750" s="11">
        <f>I750*K750</f>
        <v/>
      </c>
      <c r="N750" s="12">
        <f>LN(G750)</f>
        <v/>
      </c>
      <c r="O750" s="12">
        <f>H750*Beta_0+I750*Beta_1+J750*Beta_2+K750*Beta_3+L750*Beta_4+M750*Beta_5</f>
        <v/>
      </c>
      <c r="P750" s="12">
        <f>N750-O750</f>
        <v/>
      </c>
      <c r="Q750" s="13">
        <f>EXP(O750)*Smearing_Factor</f>
        <v/>
      </c>
    </row>
    <row r="751">
      <c r="A751" t="n">
        <v>750</v>
      </c>
      <c r="B751" t="inlineStr">
        <is>
          <t>Engineering, manufacturing and construction</t>
        </is>
      </c>
      <c r="C751" s="9" t="n">
        <v>3.28</v>
      </c>
      <c r="D751" t="n">
        <v>6</v>
      </c>
      <c r="E751" t="n">
        <v>1</v>
      </c>
      <c r="F751" t="n">
        <v>1</v>
      </c>
      <c r="G751" s="10" t="n">
        <v>2210</v>
      </c>
      <c r="H751" t="n">
        <v>1</v>
      </c>
      <c r="I751" s="11">
        <f>C751-CGPA_Mean</f>
        <v/>
      </c>
      <c r="J751">
        <f>D751</f>
        <v/>
      </c>
      <c r="K751">
        <f>E751</f>
        <v/>
      </c>
      <c r="L751">
        <f>F751</f>
        <v/>
      </c>
      <c r="M751" s="11">
        <f>I751*K751</f>
        <v/>
      </c>
      <c r="N751" s="12">
        <f>LN(G751)</f>
        <v/>
      </c>
      <c r="O751" s="12">
        <f>H751*Beta_0+I751*Beta_1+J751*Beta_2+K751*Beta_3+L751*Beta_4+M751*Beta_5</f>
        <v/>
      </c>
      <c r="P751" s="12">
        <f>N751-O751</f>
        <v/>
      </c>
      <c r="Q751" s="13">
        <f>EXP(O751)*Smearing_Factor</f>
        <v/>
      </c>
    </row>
    <row r="752">
      <c r="A752" t="n">
        <v>751</v>
      </c>
      <c r="B752" t="inlineStr">
        <is>
          <t>Business, administration and law</t>
        </is>
      </c>
      <c r="C752" s="9" t="n">
        <v>2.66</v>
      </c>
      <c r="D752" t="n">
        <v>3</v>
      </c>
      <c r="E752" t="n">
        <v>0</v>
      </c>
      <c r="F752" t="n">
        <v>1</v>
      </c>
      <c r="G752" s="10" t="n">
        <v>2220</v>
      </c>
      <c r="H752" t="n">
        <v>1</v>
      </c>
      <c r="I752" s="11">
        <f>C752-CGPA_Mean</f>
        <v/>
      </c>
      <c r="J752">
        <f>D752</f>
        <v/>
      </c>
      <c r="K752">
        <f>E752</f>
        <v/>
      </c>
      <c r="L752">
        <f>F752</f>
        <v/>
      </c>
      <c r="M752" s="11">
        <f>I752*K752</f>
        <v/>
      </c>
      <c r="N752" s="12">
        <f>LN(G752)</f>
        <v/>
      </c>
      <c r="O752" s="12">
        <f>H752*Beta_0+I752*Beta_1+J752*Beta_2+K752*Beta_3+L752*Beta_4+M752*Beta_5</f>
        <v/>
      </c>
      <c r="P752" s="12">
        <f>N752-O752</f>
        <v/>
      </c>
      <c r="Q752" s="13">
        <f>EXP(O752)*Smearing_Factor</f>
        <v/>
      </c>
    </row>
    <row r="753">
      <c r="A753" t="n">
        <v>752</v>
      </c>
      <c r="B753" t="inlineStr">
        <is>
          <t>Social sciences, journalism and information</t>
        </is>
      </c>
      <c r="C753" s="9" t="n">
        <v>3.39</v>
      </c>
      <c r="D753" t="n">
        <v>3</v>
      </c>
      <c r="E753" t="n">
        <v>0</v>
      </c>
      <c r="F753" t="n">
        <v>1</v>
      </c>
      <c r="G753" s="10" t="n">
        <v>1470</v>
      </c>
      <c r="H753" t="n">
        <v>1</v>
      </c>
      <c r="I753" s="11">
        <f>C753-CGPA_Mean</f>
        <v/>
      </c>
      <c r="J753">
        <f>D753</f>
        <v/>
      </c>
      <c r="K753">
        <f>E753</f>
        <v/>
      </c>
      <c r="L753">
        <f>F753</f>
        <v/>
      </c>
      <c r="M753" s="11">
        <f>I753*K753</f>
        <v/>
      </c>
      <c r="N753" s="12">
        <f>LN(G753)</f>
        <v/>
      </c>
      <c r="O753" s="12">
        <f>H753*Beta_0+I753*Beta_1+J753*Beta_2+K753*Beta_3+L753*Beta_4+M753*Beta_5</f>
        <v/>
      </c>
      <c r="P753" s="12">
        <f>N753-O753</f>
        <v/>
      </c>
      <c r="Q753" s="13">
        <f>EXP(O753)*Smearing_Factor</f>
        <v/>
      </c>
    </row>
    <row r="754">
      <c r="A754" t="n">
        <v>753</v>
      </c>
      <c r="B754" t="inlineStr">
        <is>
          <t>Business, administration and law</t>
        </is>
      </c>
      <c r="C754" s="9" t="n">
        <v>3.55</v>
      </c>
      <c r="D754" t="n">
        <v>3</v>
      </c>
      <c r="E754" t="n">
        <v>0</v>
      </c>
      <c r="F754" t="n">
        <v>1</v>
      </c>
      <c r="G754" s="10" t="n">
        <v>3090</v>
      </c>
      <c r="H754" t="n">
        <v>1</v>
      </c>
      <c r="I754" s="11">
        <f>C754-CGPA_Mean</f>
        <v/>
      </c>
      <c r="J754">
        <f>D754</f>
        <v/>
      </c>
      <c r="K754">
        <f>E754</f>
        <v/>
      </c>
      <c r="L754">
        <f>F754</f>
        <v/>
      </c>
      <c r="M754" s="11">
        <f>I754*K754</f>
        <v/>
      </c>
      <c r="N754" s="12">
        <f>LN(G754)</f>
        <v/>
      </c>
      <c r="O754" s="12">
        <f>H754*Beta_0+I754*Beta_1+J754*Beta_2+K754*Beta_3+L754*Beta_4+M754*Beta_5</f>
        <v/>
      </c>
      <c r="P754" s="12">
        <f>N754-O754</f>
        <v/>
      </c>
      <c r="Q754" s="13">
        <f>EXP(O754)*Smearing_Factor</f>
        <v/>
      </c>
    </row>
    <row r="755">
      <c r="A755" t="n">
        <v>754</v>
      </c>
      <c r="B755" t="inlineStr">
        <is>
          <t>Health and welfare</t>
        </is>
      </c>
      <c r="C755" s="9" t="n">
        <v>3.1</v>
      </c>
      <c r="D755" t="n">
        <v>6</v>
      </c>
      <c r="E755" t="n">
        <v>0</v>
      </c>
      <c r="F755" t="n">
        <v>0</v>
      </c>
      <c r="G755" s="10" t="n">
        <v>3160</v>
      </c>
      <c r="H755" t="n">
        <v>1</v>
      </c>
      <c r="I755" s="11">
        <f>C755-CGPA_Mean</f>
        <v/>
      </c>
      <c r="J755">
        <f>D755</f>
        <v/>
      </c>
      <c r="K755">
        <f>E755</f>
        <v/>
      </c>
      <c r="L755">
        <f>F755</f>
        <v/>
      </c>
      <c r="M755" s="11">
        <f>I755*K755</f>
        <v/>
      </c>
      <c r="N755" s="12">
        <f>LN(G755)</f>
        <v/>
      </c>
      <c r="O755" s="12">
        <f>H755*Beta_0+I755*Beta_1+J755*Beta_2+K755*Beta_3+L755*Beta_4+M755*Beta_5</f>
        <v/>
      </c>
      <c r="P755" s="12">
        <f>N755-O755</f>
        <v/>
      </c>
      <c r="Q755" s="13">
        <f>EXP(O755)*Smearing_Factor</f>
        <v/>
      </c>
    </row>
    <row r="756">
      <c r="A756" t="n">
        <v>755</v>
      </c>
      <c r="B756" t="inlineStr">
        <is>
          <t>Natural sciences, mathematics and statistics</t>
        </is>
      </c>
      <c r="C756" s="9" t="n">
        <v>3.27</v>
      </c>
      <c r="D756" t="n">
        <v>6</v>
      </c>
      <c r="E756" t="n">
        <v>1</v>
      </c>
      <c r="F756" t="n">
        <v>1</v>
      </c>
      <c r="G756" s="10" t="n">
        <v>3560</v>
      </c>
      <c r="H756" t="n">
        <v>1</v>
      </c>
      <c r="I756" s="11">
        <f>C756-CGPA_Mean</f>
        <v/>
      </c>
      <c r="J756">
        <f>D756</f>
        <v/>
      </c>
      <c r="K756">
        <f>E756</f>
        <v/>
      </c>
      <c r="L756">
        <f>F756</f>
        <v/>
      </c>
      <c r="M756" s="11">
        <f>I756*K756</f>
        <v/>
      </c>
      <c r="N756" s="12">
        <f>LN(G756)</f>
        <v/>
      </c>
      <c r="O756" s="12">
        <f>H756*Beta_0+I756*Beta_1+J756*Beta_2+K756*Beta_3+L756*Beta_4+M756*Beta_5</f>
        <v/>
      </c>
      <c r="P756" s="12">
        <f>N756-O756</f>
        <v/>
      </c>
      <c r="Q756" s="13">
        <f>EXP(O756)*Smearing_Factor</f>
        <v/>
      </c>
    </row>
    <row r="757">
      <c r="A757" t="n">
        <v>756</v>
      </c>
      <c r="B757" t="inlineStr">
        <is>
          <t>Business, administration and law</t>
        </is>
      </c>
      <c r="C757" s="9" t="n">
        <v>2.95</v>
      </c>
      <c r="D757" t="n">
        <v>6</v>
      </c>
      <c r="E757" t="n">
        <v>0</v>
      </c>
      <c r="F757" t="n">
        <v>0</v>
      </c>
      <c r="G757" s="10" t="n">
        <v>1140</v>
      </c>
      <c r="H757" t="n">
        <v>1</v>
      </c>
      <c r="I757" s="11">
        <f>C757-CGPA_Mean</f>
        <v/>
      </c>
      <c r="J757">
        <f>D757</f>
        <v/>
      </c>
      <c r="K757">
        <f>E757</f>
        <v/>
      </c>
      <c r="L757">
        <f>F757</f>
        <v/>
      </c>
      <c r="M757" s="11">
        <f>I757*K757</f>
        <v/>
      </c>
      <c r="N757" s="12">
        <f>LN(G757)</f>
        <v/>
      </c>
      <c r="O757" s="12">
        <f>H757*Beta_0+I757*Beta_1+J757*Beta_2+K757*Beta_3+L757*Beta_4+M757*Beta_5</f>
        <v/>
      </c>
      <c r="P757" s="12">
        <f>N757-O757</f>
        <v/>
      </c>
      <c r="Q757" s="13">
        <f>EXP(O757)*Smearing_Factor</f>
        <v/>
      </c>
    </row>
    <row r="758">
      <c r="A758" t="n">
        <v>757</v>
      </c>
      <c r="B758" t="inlineStr">
        <is>
          <t>Social sciences, journalism and information</t>
        </is>
      </c>
      <c r="C758" s="9" t="n">
        <v>2.82</v>
      </c>
      <c r="D758" t="n">
        <v>6</v>
      </c>
      <c r="E758" t="n">
        <v>0</v>
      </c>
      <c r="F758" t="n">
        <v>1</v>
      </c>
      <c r="G758" s="10" t="n">
        <v>3130</v>
      </c>
      <c r="H758" t="n">
        <v>1</v>
      </c>
      <c r="I758" s="11">
        <f>C758-CGPA_Mean</f>
        <v/>
      </c>
      <c r="J758">
        <f>D758</f>
        <v/>
      </c>
      <c r="K758">
        <f>E758</f>
        <v/>
      </c>
      <c r="L758">
        <f>F758</f>
        <v/>
      </c>
      <c r="M758" s="11">
        <f>I758*K758</f>
        <v/>
      </c>
      <c r="N758" s="12">
        <f>LN(G758)</f>
        <v/>
      </c>
      <c r="O758" s="12">
        <f>H758*Beta_0+I758*Beta_1+J758*Beta_2+K758*Beta_3+L758*Beta_4+M758*Beta_5</f>
        <v/>
      </c>
      <c r="P758" s="12">
        <f>N758-O758</f>
        <v/>
      </c>
      <c r="Q758" s="13">
        <f>EXP(O758)*Smearing_Factor</f>
        <v/>
      </c>
    </row>
    <row r="759">
      <c r="A759" t="n">
        <v>758</v>
      </c>
      <c r="B759" t="inlineStr">
        <is>
          <t>Engineering, manufacturing and construction</t>
        </is>
      </c>
      <c r="C759" s="9" t="n">
        <v>2.91</v>
      </c>
      <c r="D759" t="n">
        <v>6</v>
      </c>
      <c r="E759" t="n">
        <v>1</v>
      </c>
      <c r="F759" t="n">
        <v>1</v>
      </c>
      <c r="G759" s="10" t="n">
        <v>2750</v>
      </c>
      <c r="H759" t="n">
        <v>1</v>
      </c>
      <c r="I759" s="11">
        <f>C759-CGPA_Mean</f>
        <v/>
      </c>
      <c r="J759">
        <f>D759</f>
        <v/>
      </c>
      <c r="K759">
        <f>E759</f>
        <v/>
      </c>
      <c r="L759">
        <f>F759</f>
        <v/>
      </c>
      <c r="M759" s="11">
        <f>I759*K759</f>
        <v/>
      </c>
      <c r="N759" s="12">
        <f>LN(G759)</f>
        <v/>
      </c>
      <c r="O759" s="12">
        <f>H759*Beta_0+I759*Beta_1+J759*Beta_2+K759*Beta_3+L759*Beta_4+M759*Beta_5</f>
        <v/>
      </c>
      <c r="P759" s="12">
        <f>N759-O759</f>
        <v/>
      </c>
      <c r="Q759" s="13">
        <f>EXP(O759)*Smearing_Factor</f>
        <v/>
      </c>
    </row>
    <row r="760">
      <c r="A760" t="n">
        <v>759</v>
      </c>
      <c r="B760" t="inlineStr">
        <is>
          <t>Business, administration and law</t>
        </is>
      </c>
      <c r="C760" s="9" t="n">
        <v>2.68</v>
      </c>
      <c r="D760" t="n">
        <v>9</v>
      </c>
      <c r="E760" t="n">
        <v>0</v>
      </c>
      <c r="F760" t="n">
        <v>0</v>
      </c>
      <c r="G760" s="10" t="n">
        <v>2530</v>
      </c>
      <c r="H760" t="n">
        <v>1</v>
      </c>
      <c r="I760" s="11">
        <f>C760-CGPA_Mean</f>
        <v/>
      </c>
      <c r="J760">
        <f>D760</f>
        <v/>
      </c>
      <c r="K760">
        <f>E760</f>
        <v/>
      </c>
      <c r="L760">
        <f>F760</f>
        <v/>
      </c>
      <c r="M760" s="11">
        <f>I760*K760</f>
        <v/>
      </c>
      <c r="N760" s="12">
        <f>LN(G760)</f>
        <v/>
      </c>
      <c r="O760" s="12">
        <f>H760*Beta_0+I760*Beta_1+J760*Beta_2+K760*Beta_3+L760*Beta_4+M760*Beta_5</f>
        <v/>
      </c>
      <c r="P760" s="12">
        <f>N760-O760</f>
        <v/>
      </c>
      <c r="Q760" s="13">
        <f>EXP(O760)*Smearing_Factor</f>
        <v/>
      </c>
    </row>
    <row r="761">
      <c r="A761" t="n">
        <v>760</v>
      </c>
      <c r="B761" t="inlineStr">
        <is>
          <t>Education</t>
        </is>
      </c>
      <c r="C761" s="9" t="n">
        <v>3.2</v>
      </c>
      <c r="D761" t="n">
        <v>6</v>
      </c>
      <c r="E761" t="n">
        <v>0</v>
      </c>
      <c r="F761" t="n">
        <v>1</v>
      </c>
      <c r="G761" s="10" t="n">
        <v>1160</v>
      </c>
      <c r="H761" t="n">
        <v>1</v>
      </c>
      <c r="I761" s="11">
        <f>C761-CGPA_Mean</f>
        <v/>
      </c>
      <c r="J761">
        <f>D761</f>
        <v/>
      </c>
      <c r="K761">
        <f>E761</f>
        <v/>
      </c>
      <c r="L761">
        <f>F761</f>
        <v/>
      </c>
      <c r="M761" s="11">
        <f>I761*K761</f>
        <v/>
      </c>
      <c r="N761" s="12">
        <f>LN(G761)</f>
        <v/>
      </c>
      <c r="O761" s="12">
        <f>H761*Beta_0+I761*Beta_1+J761*Beta_2+K761*Beta_3+L761*Beta_4+M761*Beta_5</f>
        <v/>
      </c>
      <c r="P761" s="12">
        <f>N761-O761</f>
        <v/>
      </c>
      <c r="Q761" s="13">
        <f>EXP(O761)*Smearing_Factor</f>
        <v/>
      </c>
    </row>
    <row r="762">
      <c r="A762" t="n">
        <v>761</v>
      </c>
      <c r="B762" t="inlineStr">
        <is>
          <t>Engineering, manufacturing and construction</t>
        </is>
      </c>
      <c r="C762" s="9" t="n">
        <v>3.22</v>
      </c>
      <c r="D762" t="n">
        <v>3</v>
      </c>
      <c r="E762" t="n">
        <v>1</v>
      </c>
      <c r="F762" t="n">
        <v>0</v>
      </c>
      <c r="G762" s="10" t="n">
        <v>1920</v>
      </c>
      <c r="H762" t="n">
        <v>1</v>
      </c>
      <c r="I762" s="11">
        <f>C762-CGPA_Mean</f>
        <v/>
      </c>
      <c r="J762">
        <f>D762</f>
        <v/>
      </c>
      <c r="K762">
        <f>E762</f>
        <v/>
      </c>
      <c r="L762">
        <f>F762</f>
        <v/>
      </c>
      <c r="M762" s="11">
        <f>I762*K762</f>
        <v/>
      </c>
      <c r="N762" s="12">
        <f>LN(G762)</f>
        <v/>
      </c>
      <c r="O762" s="12">
        <f>H762*Beta_0+I762*Beta_1+J762*Beta_2+K762*Beta_3+L762*Beta_4+M762*Beta_5</f>
        <v/>
      </c>
      <c r="P762" s="12">
        <f>N762-O762</f>
        <v/>
      </c>
      <c r="Q762" s="13">
        <f>EXP(O762)*Smearing_Factor</f>
        <v/>
      </c>
    </row>
    <row r="763">
      <c r="A763" t="n">
        <v>762</v>
      </c>
      <c r="B763" t="inlineStr">
        <is>
          <t>Business, administration and law</t>
        </is>
      </c>
      <c r="C763" s="9" t="n">
        <v>2.9</v>
      </c>
      <c r="D763" t="n">
        <v>3</v>
      </c>
      <c r="E763" t="n">
        <v>0</v>
      </c>
      <c r="F763" t="n">
        <v>0</v>
      </c>
      <c r="G763" s="10" t="n">
        <v>1640</v>
      </c>
      <c r="H763" t="n">
        <v>1</v>
      </c>
      <c r="I763" s="11">
        <f>C763-CGPA_Mean</f>
        <v/>
      </c>
      <c r="J763">
        <f>D763</f>
        <v/>
      </c>
      <c r="K763">
        <f>E763</f>
        <v/>
      </c>
      <c r="L763">
        <f>F763</f>
        <v/>
      </c>
      <c r="M763" s="11">
        <f>I763*K763</f>
        <v/>
      </c>
      <c r="N763" s="12">
        <f>LN(G763)</f>
        <v/>
      </c>
      <c r="O763" s="12">
        <f>H763*Beta_0+I763*Beta_1+J763*Beta_2+K763*Beta_3+L763*Beta_4+M763*Beta_5</f>
        <v/>
      </c>
      <c r="P763" s="12">
        <f>N763-O763</f>
        <v/>
      </c>
      <c r="Q763" s="13">
        <f>EXP(O763)*Smearing_Factor</f>
        <v/>
      </c>
    </row>
    <row r="764">
      <c r="A764" t="n">
        <v>763</v>
      </c>
      <c r="B764" t="inlineStr">
        <is>
          <t>Education</t>
        </is>
      </c>
      <c r="C764" s="9" t="n">
        <v>2.65</v>
      </c>
      <c r="D764" t="n">
        <v>6</v>
      </c>
      <c r="E764" t="n">
        <v>0</v>
      </c>
      <c r="F764" t="n">
        <v>1</v>
      </c>
      <c r="G764" s="10" t="n">
        <v>1870</v>
      </c>
      <c r="H764" t="n">
        <v>1</v>
      </c>
      <c r="I764" s="11">
        <f>C764-CGPA_Mean</f>
        <v/>
      </c>
      <c r="J764">
        <f>D764</f>
        <v/>
      </c>
      <c r="K764">
        <f>E764</f>
        <v/>
      </c>
      <c r="L764">
        <f>F764</f>
        <v/>
      </c>
      <c r="M764" s="11">
        <f>I764*K764</f>
        <v/>
      </c>
      <c r="N764" s="12">
        <f>LN(G764)</f>
        <v/>
      </c>
      <c r="O764" s="12">
        <f>H764*Beta_0+I764*Beta_1+J764*Beta_2+K764*Beta_3+L764*Beta_4+M764*Beta_5</f>
        <v/>
      </c>
      <c r="P764" s="12">
        <f>N764-O764</f>
        <v/>
      </c>
      <c r="Q764" s="13">
        <f>EXP(O764)*Smearing_Factor</f>
        <v/>
      </c>
    </row>
    <row r="765">
      <c r="A765" t="n">
        <v>764</v>
      </c>
      <c r="B765" t="inlineStr">
        <is>
          <t>Business, administration and law</t>
        </is>
      </c>
      <c r="C765" s="9" t="n">
        <v>3.71</v>
      </c>
      <c r="D765" t="n">
        <v>3</v>
      </c>
      <c r="E765" t="n">
        <v>0</v>
      </c>
      <c r="F765" t="n">
        <v>0</v>
      </c>
      <c r="G765" s="10" t="n">
        <v>2410</v>
      </c>
      <c r="H765" t="n">
        <v>1</v>
      </c>
      <c r="I765" s="11">
        <f>C765-CGPA_Mean</f>
        <v/>
      </c>
      <c r="J765">
        <f>D765</f>
        <v/>
      </c>
      <c r="K765">
        <f>E765</f>
        <v/>
      </c>
      <c r="L765">
        <f>F765</f>
        <v/>
      </c>
      <c r="M765" s="11">
        <f>I765*K765</f>
        <v/>
      </c>
      <c r="N765" s="12">
        <f>LN(G765)</f>
        <v/>
      </c>
      <c r="O765" s="12">
        <f>H765*Beta_0+I765*Beta_1+J765*Beta_2+K765*Beta_3+L765*Beta_4+M765*Beta_5</f>
        <v/>
      </c>
      <c r="P765" s="12">
        <f>N765-O765</f>
        <v/>
      </c>
      <c r="Q765" s="13">
        <f>EXP(O765)*Smearing_Factor</f>
        <v/>
      </c>
    </row>
    <row r="766">
      <c r="A766" t="n">
        <v>765</v>
      </c>
      <c r="B766" t="inlineStr">
        <is>
          <t>Engineering, manufacturing and construction</t>
        </is>
      </c>
      <c r="C766" s="9" t="n">
        <v>2.79</v>
      </c>
      <c r="D766" t="n">
        <v>9</v>
      </c>
      <c r="E766" t="n">
        <v>1</v>
      </c>
      <c r="F766" t="n">
        <v>0</v>
      </c>
      <c r="G766" s="10" t="n">
        <v>2540</v>
      </c>
      <c r="H766" t="n">
        <v>1</v>
      </c>
      <c r="I766" s="11">
        <f>C766-CGPA_Mean</f>
        <v/>
      </c>
      <c r="J766">
        <f>D766</f>
        <v/>
      </c>
      <c r="K766">
        <f>E766</f>
        <v/>
      </c>
      <c r="L766">
        <f>F766</f>
        <v/>
      </c>
      <c r="M766" s="11">
        <f>I766*K766</f>
        <v/>
      </c>
      <c r="N766" s="12">
        <f>LN(G766)</f>
        <v/>
      </c>
      <c r="O766" s="12">
        <f>H766*Beta_0+I766*Beta_1+J766*Beta_2+K766*Beta_3+L766*Beta_4+M766*Beta_5</f>
        <v/>
      </c>
      <c r="P766" s="12">
        <f>N766-O766</f>
        <v/>
      </c>
      <c r="Q766" s="13">
        <f>EXP(O766)*Smearing_Factor</f>
        <v/>
      </c>
    </row>
    <row r="767">
      <c r="A767" t="n">
        <v>766</v>
      </c>
      <c r="B767" t="inlineStr">
        <is>
          <t>Health and welfare</t>
        </is>
      </c>
      <c r="C767" s="9" t="n">
        <v>3.27</v>
      </c>
      <c r="D767" t="n">
        <v>3</v>
      </c>
      <c r="E767" t="n">
        <v>0</v>
      </c>
      <c r="F767" t="n">
        <v>0</v>
      </c>
      <c r="G767" s="10" t="n">
        <v>2000</v>
      </c>
      <c r="H767" t="n">
        <v>1</v>
      </c>
      <c r="I767" s="11">
        <f>C767-CGPA_Mean</f>
        <v/>
      </c>
      <c r="J767">
        <f>D767</f>
        <v/>
      </c>
      <c r="K767">
        <f>E767</f>
        <v/>
      </c>
      <c r="L767">
        <f>F767</f>
        <v/>
      </c>
      <c r="M767" s="11">
        <f>I767*K767</f>
        <v/>
      </c>
      <c r="N767" s="12">
        <f>LN(G767)</f>
        <v/>
      </c>
      <c r="O767" s="12">
        <f>H767*Beta_0+I767*Beta_1+J767*Beta_2+K767*Beta_3+L767*Beta_4+M767*Beta_5</f>
        <v/>
      </c>
      <c r="P767" s="12">
        <f>N767-O767</f>
        <v/>
      </c>
      <c r="Q767" s="13">
        <f>EXP(O767)*Smearing_Factor</f>
        <v/>
      </c>
    </row>
    <row r="768">
      <c r="A768" t="n">
        <v>767</v>
      </c>
      <c r="B768" t="inlineStr">
        <is>
          <t>Engineering, manufacturing and construction</t>
        </is>
      </c>
      <c r="C768" s="9" t="n">
        <v>3.41</v>
      </c>
      <c r="D768" t="n">
        <v>6</v>
      </c>
      <c r="E768" t="n">
        <v>1</v>
      </c>
      <c r="F768" t="n">
        <v>1</v>
      </c>
      <c r="G768" s="10" t="n">
        <v>3130</v>
      </c>
      <c r="H768" t="n">
        <v>1</v>
      </c>
      <c r="I768" s="11">
        <f>C768-CGPA_Mean</f>
        <v/>
      </c>
      <c r="J768">
        <f>D768</f>
        <v/>
      </c>
      <c r="K768">
        <f>E768</f>
        <v/>
      </c>
      <c r="L768">
        <f>F768</f>
        <v/>
      </c>
      <c r="M768" s="11">
        <f>I768*K768</f>
        <v/>
      </c>
      <c r="N768" s="12">
        <f>LN(G768)</f>
        <v/>
      </c>
      <c r="O768" s="12">
        <f>H768*Beta_0+I768*Beta_1+J768*Beta_2+K768*Beta_3+L768*Beta_4+M768*Beta_5</f>
        <v/>
      </c>
      <c r="P768" s="12">
        <f>N768-O768</f>
        <v/>
      </c>
      <c r="Q768" s="13">
        <f>EXP(O768)*Smearing_Factor</f>
        <v/>
      </c>
    </row>
    <row r="769">
      <c r="A769" t="n">
        <v>768</v>
      </c>
      <c r="B769" t="inlineStr">
        <is>
          <t>Engineering, manufacturing and construction</t>
        </is>
      </c>
      <c r="C769" s="9" t="n">
        <v>3.34</v>
      </c>
      <c r="D769" t="n">
        <v>3</v>
      </c>
      <c r="E769" t="n">
        <v>1</v>
      </c>
      <c r="F769" t="n">
        <v>1</v>
      </c>
      <c r="G769" s="10" t="n">
        <v>3320</v>
      </c>
      <c r="H769" t="n">
        <v>1</v>
      </c>
      <c r="I769" s="11">
        <f>C769-CGPA_Mean</f>
        <v/>
      </c>
      <c r="J769">
        <f>D769</f>
        <v/>
      </c>
      <c r="K769">
        <f>E769</f>
        <v/>
      </c>
      <c r="L769">
        <f>F769</f>
        <v/>
      </c>
      <c r="M769" s="11">
        <f>I769*K769</f>
        <v/>
      </c>
      <c r="N769" s="12">
        <f>LN(G769)</f>
        <v/>
      </c>
      <c r="O769" s="12">
        <f>H769*Beta_0+I769*Beta_1+J769*Beta_2+K769*Beta_3+L769*Beta_4+M769*Beta_5</f>
        <v/>
      </c>
      <c r="P769" s="12">
        <f>N769-O769</f>
        <v/>
      </c>
      <c r="Q769" s="13">
        <f>EXP(O769)*Smearing_Factor</f>
        <v/>
      </c>
    </row>
    <row r="770">
      <c r="A770" t="n">
        <v>769</v>
      </c>
      <c r="B770" t="inlineStr">
        <is>
          <t>Information and communication technologies</t>
        </is>
      </c>
      <c r="C770" s="9" t="n">
        <v>3.03</v>
      </c>
      <c r="D770" t="n">
        <v>3</v>
      </c>
      <c r="E770" t="n">
        <v>1</v>
      </c>
      <c r="F770" t="n">
        <v>1</v>
      </c>
      <c r="G770" s="10" t="n">
        <v>3780</v>
      </c>
      <c r="H770" t="n">
        <v>1</v>
      </c>
      <c r="I770" s="11">
        <f>C770-CGPA_Mean</f>
        <v/>
      </c>
      <c r="J770">
        <f>D770</f>
        <v/>
      </c>
      <c r="K770">
        <f>E770</f>
        <v/>
      </c>
      <c r="L770">
        <f>F770</f>
        <v/>
      </c>
      <c r="M770" s="11">
        <f>I770*K770</f>
        <v/>
      </c>
      <c r="N770" s="12">
        <f>LN(G770)</f>
        <v/>
      </c>
      <c r="O770" s="12">
        <f>H770*Beta_0+I770*Beta_1+J770*Beta_2+K770*Beta_3+L770*Beta_4+M770*Beta_5</f>
        <v/>
      </c>
      <c r="P770" s="12">
        <f>N770-O770</f>
        <v/>
      </c>
      <c r="Q770" s="13">
        <f>EXP(O770)*Smearing_Factor</f>
        <v/>
      </c>
    </row>
    <row r="771">
      <c r="A771" t="n">
        <v>770</v>
      </c>
      <c r="B771" t="inlineStr">
        <is>
          <t>Business, administration and law</t>
        </is>
      </c>
      <c r="C771" s="9" t="n">
        <v>2.85</v>
      </c>
      <c r="D771" t="n">
        <v>6</v>
      </c>
      <c r="E771" t="n">
        <v>0</v>
      </c>
      <c r="F771" t="n">
        <v>0</v>
      </c>
      <c r="G771" s="10" t="n">
        <v>2080</v>
      </c>
      <c r="H771" t="n">
        <v>1</v>
      </c>
      <c r="I771" s="11">
        <f>C771-CGPA_Mean</f>
        <v/>
      </c>
      <c r="J771">
        <f>D771</f>
        <v/>
      </c>
      <c r="K771">
        <f>E771</f>
        <v/>
      </c>
      <c r="L771">
        <f>F771</f>
        <v/>
      </c>
      <c r="M771" s="11">
        <f>I771*K771</f>
        <v/>
      </c>
      <c r="N771" s="12">
        <f>LN(G771)</f>
        <v/>
      </c>
      <c r="O771" s="12">
        <f>H771*Beta_0+I771*Beta_1+J771*Beta_2+K771*Beta_3+L771*Beta_4+M771*Beta_5</f>
        <v/>
      </c>
      <c r="P771" s="12">
        <f>N771-O771</f>
        <v/>
      </c>
      <c r="Q771" s="13">
        <f>EXP(O771)*Smearing_Factor</f>
        <v/>
      </c>
    </row>
    <row r="772">
      <c r="A772" t="n">
        <v>771</v>
      </c>
      <c r="B772" t="inlineStr">
        <is>
          <t>Education</t>
        </is>
      </c>
      <c r="C772" s="9" t="n">
        <v>3.53</v>
      </c>
      <c r="D772" t="n">
        <v>3</v>
      </c>
      <c r="E772" t="n">
        <v>0</v>
      </c>
      <c r="F772" t="n">
        <v>0</v>
      </c>
      <c r="G772" s="10" t="n">
        <v>1670</v>
      </c>
      <c r="H772" t="n">
        <v>1</v>
      </c>
      <c r="I772" s="11">
        <f>C772-CGPA_Mean</f>
        <v/>
      </c>
      <c r="J772">
        <f>D772</f>
        <v/>
      </c>
      <c r="K772">
        <f>E772</f>
        <v/>
      </c>
      <c r="L772">
        <f>F772</f>
        <v/>
      </c>
      <c r="M772" s="11">
        <f>I772*K772</f>
        <v/>
      </c>
      <c r="N772" s="12">
        <f>LN(G772)</f>
        <v/>
      </c>
      <c r="O772" s="12">
        <f>H772*Beta_0+I772*Beta_1+J772*Beta_2+K772*Beta_3+L772*Beta_4+M772*Beta_5</f>
        <v/>
      </c>
      <c r="P772" s="12">
        <f>N772-O772</f>
        <v/>
      </c>
      <c r="Q772" s="13">
        <f>EXP(O772)*Smearing_Factor</f>
        <v/>
      </c>
    </row>
    <row r="773">
      <c r="A773" t="n">
        <v>772</v>
      </c>
      <c r="B773" t="inlineStr">
        <is>
          <t>Services</t>
        </is>
      </c>
      <c r="C773" s="9" t="n">
        <v>3.53</v>
      </c>
      <c r="D773" t="n">
        <v>6</v>
      </c>
      <c r="E773" t="n">
        <v>0</v>
      </c>
      <c r="F773" t="n">
        <v>0</v>
      </c>
      <c r="G773" s="10" t="n">
        <v>2430</v>
      </c>
      <c r="H773" t="n">
        <v>1</v>
      </c>
      <c r="I773" s="11">
        <f>C773-CGPA_Mean</f>
        <v/>
      </c>
      <c r="J773">
        <f>D773</f>
        <v/>
      </c>
      <c r="K773">
        <f>E773</f>
        <v/>
      </c>
      <c r="L773">
        <f>F773</f>
        <v/>
      </c>
      <c r="M773" s="11">
        <f>I773*K773</f>
        <v/>
      </c>
      <c r="N773" s="12">
        <f>LN(G773)</f>
        <v/>
      </c>
      <c r="O773" s="12">
        <f>H773*Beta_0+I773*Beta_1+J773*Beta_2+K773*Beta_3+L773*Beta_4+M773*Beta_5</f>
        <v/>
      </c>
      <c r="P773" s="12">
        <f>N773-O773</f>
        <v/>
      </c>
      <c r="Q773" s="13">
        <f>EXP(O773)*Smearing_Factor</f>
        <v/>
      </c>
    </row>
    <row r="774">
      <c r="A774" t="n">
        <v>773</v>
      </c>
      <c r="B774" t="inlineStr">
        <is>
          <t>Health and welfare</t>
        </is>
      </c>
      <c r="C774" s="9" t="n">
        <v>3.5</v>
      </c>
      <c r="D774" t="n">
        <v>3</v>
      </c>
      <c r="E774" t="n">
        <v>0</v>
      </c>
      <c r="F774" t="n">
        <v>0</v>
      </c>
      <c r="G774" s="10" t="n">
        <v>4300</v>
      </c>
      <c r="H774" t="n">
        <v>1</v>
      </c>
      <c r="I774" s="11">
        <f>C774-CGPA_Mean</f>
        <v/>
      </c>
      <c r="J774">
        <f>D774</f>
        <v/>
      </c>
      <c r="K774">
        <f>E774</f>
        <v/>
      </c>
      <c r="L774">
        <f>F774</f>
        <v/>
      </c>
      <c r="M774" s="11">
        <f>I774*K774</f>
        <v/>
      </c>
      <c r="N774" s="12">
        <f>LN(G774)</f>
        <v/>
      </c>
      <c r="O774" s="12">
        <f>H774*Beta_0+I774*Beta_1+J774*Beta_2+K774*Beta_3+L774*Beta_4+M774*Beta_5</f>
        <v/>
      </c>
      <c r="P774" s="12">
        <f>N774-O774</f>
        <v/>
      </c>
      <c r="Q774" s="13">
        <f>EXP(O774)*Smearing_Factor</f>
        <v/>
      </c>
    </row>
    <row r="775">
      <c r="A775" t="n">
        <v>774</v>
      </c>
      <c r="B775" t="inlineStr">
        <is>
          <t>Engineering, manufacturing and construction</t>
        </is>
      </c>
      <c r="C775" s="9" t="n">
        <v>3.11</v>
      </c>
      <c r="D775" t="n">
        <v>3</v>
      </c>
      <c r="E775" t="n">
        <v>1</v>
      </c>
      <c r="F775" t="n">
        <v>1</v>
      </c>
      <c r="G775" s="10" t="n">
        <v>2670</v>
      </c>
      <c r="H775" t="n">
        <v>1</v>
      </c>
      <c r="I775" s="11">
        <f>C775-CGPA_Mean</f>
        <v/>
      </c>
      <c r="J775">
        <f>D775</f>
        <v/>
      </c>
      <c r="K775">
        <f>E775</f>
        <v/>
      </c>
      <c r="L775">
        <f>F775</f>
        <v/>
      </c>
      <c r="M775" s="11">
        <f>I775*K775</f>
        <v/>
      </c>
      <c r="N775" s="12">
        <f>LN(G775)</f>
        <v/>
      </c>
      <c r="O775" s="12">
        <f>H775*Beta_0+I775*Beta_1+J775*Beta_2+K775*Beta_3+L775*Beta_4+M775*Beta_5</f>
        <v/>
      </c>
      <c r="P775" s="12">
        <f>N775-O775</f>
        <v/>
      </c>
      <c r="Q775" s="13">
        <f>EXP(O775)*Smearing_Factor</f>
        <v/>
      </c>
    </row>
    <row r="776">
      <c r="A776" t="n">
        <v>775</v>
      </c>
      <c r="B776" t="inlineStr">
        <is>
          <t>Social sciences, journalism and information</t>
        </is>
      </c>
      <c r="C776" s="9" t="n">
        <v>2.94</v>
      </c>
      <c r="D776" t="n">
        <v>6</v>
      </c>
      <c r="E776" t="n">
        <v>0</v>
      </c>
      <c r="F776" t="n">
        <v>1</v>
      </c>
      <c r="G776" s="10" t="n">
        <v>4670</v>
      </c>
      <c r="H776" t="n">
        <v>1</v>
      </c>
      <c r="I776" s="11">
        <f>C776-CGPA_Mean</f>
        <v/>
      </c>
      <c r="J776">
        <f>D776</f>
        <v/>
      </c>
      <c r="K776">
        <f>E776</f>
        <v/>
      </c>
      <c r="L776">
        <f>F776</f>
        <v/>
      </c>
      <c r="M776" s="11">
        <f>I776*K776</f>
        <v/>
      </c>
      <c r="N776" s="12">
        <f>LN(G776)</f>
        <v/>
      </c>
      <c r="O776" s="12">
        <f>H776*Beta_0+I776*Beta_1+J776*Beta_2+K776*Beta_3+L776*Beta_4+M776*Beta_5</f>
        <v/>
      </c>
      <c r="P776" s="12">
        <f>N776-O776</f>
        <v/>
      </c>
      <c r="Q776" s="13">
        <f>EXP(O776)*Smearing_Factor</f>
        <v/>
      </c>
    </row>
    <row r="777">
      <c r="A777" t="n">
        <v>776</v>
      </c>
      <c r="B777" t="inlineStr">
        <is>
          <t>Engineering, manufacturing and construction</t>
        </is>
      </c>
      <c r="C777" s="9" t="n">
        <v>3.1</v>
      </c>
      <c r="D777" t="n">
        <v>6</v>
      </c>
      <c r="E777" t="n">
        <v>1</v>
      </c>
      <c r="F777" t="n">
        <v>0</v>
      </c>
      <c r="G777" s="10" t="n">
        <v>2030</v>
      </c>
      <c r="H777" t="n">
        <v>1</v>
      </c>
      <c r="I777" s="11">
        <f>C777-CGPA_Mean</f>
        <v/>
      </c>
      <c r="J777">
        <f>D777</f>
        <v/>
      </c>
      <c r="K777">
        <f>E777</f>
        <v/>
      </c>
      <c r="L777">
        <f>F777</f>
        <v/>
      </c>
      <c r="M777" s="11">
        <f>I777*K777</f>
        <v/>
      </c>
      <c r="N777" s="12">
        <f>LN(G777)</f>
        <v/>
      </c>
      <c r="O777" s="12">
        <f>H777*Beta_0+I777*Beta_1+J777*Beta_2+K777*Beta_3+L777*Beta_4+M777*Beta_5</f>
        <v/>
      </c>
      <c r="P777" s="12">
        <f>N777-O777</f>
        <v/>
      </c>
      <c r="Q777" s="13">
        <f>EXP(O777)*Smearing_Factor</f>
        <v/>
      </c>
    </row>
    <row r="778">
      <c r="A778" t="n">
        <v>777</v>
      </c>
      <c r="B778" t="inlineStr">
        <is>
          <t>Business, administration and law</t>
        </is>
      </c>
      <c r="C778" s="9" t="n">
        <v>3.28</v>
      </c>
      <c r="D778" t="n">
        <v>6</v>
      </c>
      <c r="E778" t="n">
        <v>0</v>
      </c>
      <c r="F778" t="n">
        <v>1</v>
      </c>
      <c r="G778" s="10" t="n">
        <v>2080</v>
      </c>
      <c r="H778" t="n">
        <v>1</v>
      </c>
      <c r="I778" s="11">
        <f>C778-CGPA_Mean</f>
        <v/>
      </c>
      <c r="J778">
        <f>D778</f>
        <v/>
      </c>
      <c r="K778">
        <f>E778</f>
        <v/>
      </c>
      <c r="L778">
        <f>F778</f>
        <v/>
      </c>
      <c r="M778" s="11">
        <f>I778*K778</f>
        <v/>
      </c>
      <c r="N778" s="12">
        <f>LN(G778)</f>
        <v/>
      </c>
      <c r="O778" s="12">
        <f>H778*Beta_0+I778*Beta_1+J778*Beta_2+K778*Beta_3+L778*Beta_4+M778*Beta_5</f>
        <v/>
      </c>
      <c r="P778" s="12">
        <f>N778-O778</f>
        <v/>
      </c>
      <c r="Q778" s="13">
        <f>EXP(O778)*Smearing_Factor</f>
        <v/>
      </c>
    </row>
    <row r="779">
      <c r="A779" t="n">
        <v>778</v>
      </c>
      <c r="B779" t="inlineStr">
        <is>
          <t>Engineering, manufacturing and construction</t>
        </is>
      </c>
      <c r="C779" s="9" t="n">
        <v>3.39</v>
      </c>
      <c r="D779" t="n">
        <v>3</v>
      </c>
      <c r="E779" t="n">
        <v>1</v>
      </c>
      <c r="F779" t="n">
        <v>1</v>
      </c>
      <c r="G779" s="10" t="n">
        <v>3190</v>
      </c>
      <c r="H779" t="n">
        <v>1</v>
      </c>
      <c r="I779" s="11">
        <f>C779-CGPA_Mean</f>
        <v/>
      </c>
      <c r="J779">
        <f>D779</f>
        <v/>
      </c>
      <c r="K779">
        <f>E779</f>
        <v/>
      </c>
      <c r="L779">
        <f>F779</f>
        <v/>
      </c>
      <c r="M779" s="11">
        <f>I779*K779</f>
        <v/>
      </c>
      <c r="N779" s="12">
        <f>LN(G779)</f>
        <v/>
      </c>
      <c r="O779" s="12">
        <f>H779*Beta_0+I779*Beta_1+J779*Beta_2+K779*Beta_3+L779*Beta_4+M779*Beta_5</f>
        <v/>
      </c>
      <c r="P779" s="12">
        <f>N779-O779</f>
        <v/>
      </c>
      <c r="Q779" s="13">
        <f>EXP(O779)*Smearing_Factor</f>
        <v/>
      </c>
    </row>
    <row r="780">
      <c r="A780" t="n">
        <v>779</v>
      </c>
      <c r="B780" t="inlineStr">
        <is>
          <t>Information and communication technologies</t>
        </is>
      </c>
      <c r="C780" s="9" t="n">
        <v>3.44</v>
      </c>
      <c r="D780" t="n">
        <v>6</v>
      </c>
      <c r="E780" t="n">
        <v>1</v>
      </c>
      <c r="F780" t="n">
        <v>0</v>
      </c>
      <c r="G780" s="10" t="n">
        <v>3390</v>
      </c>
      <c r="H780" t="n">
        <v>1</v>
      </c>
      <c r="I780" s="11">
        <f>C780-CGPA_Mean</f>
        <v/>
      </c>
      <c r="J780">
        <f>D780</f>
        <v/>
      </c>
      <c r="K780">
        <f>E780</f>
        <v/>
      </c>
      <c r="L780">
        <f>F780</f>
        <v/>
      </c>
      <c r="M780" s="11">
        <f>I780*K780</f>
        <v/>
      </c>
      <c r="N780" s="12">
        <f>LN(G780)</f>
        <v/>
      </c>
      <c r="O780" s="12">
        <f>H780*Beta_0+I780*Beta_1+J780*Beta_2+K780*Beta_3+L780*Beta_4+M780*Beta_5</f>
        <v/>
      </c>
      <c r="P780" s="12">
        <f>N780-O780</f>
        <v/>
      </c>
      <c r="Q780" s="13">
        <f>EXP(O780)*Smearing_Factor</f>
        <v/>
      </c>
    </row>
    <row r="781">
      <c r="A781" t="n">
        <v>780</v>
      </c>
      <c r="B781" t="inlineStr">
        <is>
          <t>Services</t>
        </is>
      </c>
      <c r="C781" s="9" t="n">
        <v>3.34</v>
      </c>
      <c r="D781" t="n">
        <v>9</v>
      </c>
      <c r="E781" t="n">
        <v>0</v>
      </c>
      <c r="F781" t="n">
        <v>0</v>
      </c>
      <c r="G781" s="10" t="n">
        <v>2130</v>
      </c>
      <c r="H781" t="n">
        <v>1</v>
      </c>
      <c r="I781" s="11">
        <f>C781-CGPA_Mean</f>
        <v/>
      </c>
      <c r="J781">
        <f>D781</f>
        <v/>
      </c>
      <c r="K781">
        <f>E781</f>
        <v/>
      </c>
      <c r="L781">
        <f>F781</f>
        <v/>
      </c>
      <c r="M781" s="11">
        <f>I781*K781</f>
        <v/>
      </c>
      <c r="N781" s="12">
        <f>LN(G781)</f>
        <v/>
      </c>
      <c r="O781" s="12">
        <f>H781*Beta_0+I781*Beta_1+J781*Beta_2+K781*Beta_3+L781*Beta_4+M781*Beta_5</f>
        <v/>
      </c>
      <c r="P781" s="12">
        <f>N781-O781</f>
        <v/>
      </c>
      <c r="Q781" s="13">
        <f>EXP(O781)*Smearing_Factor</f>
        <v/>
      </c>
    </row>
    <row r="782">
      <c r="A782" t="n">
        <v>781</v>
      </c>
      <c r="B782" t="inlineStr">
        <is>
          <t>Education</t>
        </is>
      </c>
      <c r="C782" s="9" t="n">
        <v>2.92</v>
      </c>
      <c r="D782" t="n">
        <v>6</v>
      </c>
      <c r="E782" t="n">
        <v>0</v>
      </c>
      <c r="F782" t="n">
        <v>0</v>
      </c>
      <c r="G782" s="10" t="n">
        <v>1200</v>
      </c>
      <c r="H782" t="n">
        <v>1</v>
      </c>
      <c r="I782" s="11">
        <f>C782-CGPA_Mean</f>
        <v/>
      </c>
      <c r="J782">
        <f>D782</f>
        <v/>
      </c>
      <c r="K782">
        <f>E782</f>
        <v/>
      </c>
      <c r="L782">
        <f>F782</f>
        <v/>
      </c>
      <c r="M782" s="11">
        <f>I782*K782</f>
        <v/>
      </c>
      <c r="N782" s="12">
        <f>LN(G782)</f>
        <v/>
      </c>
      <c r="O782" s="12">
        <f>H782*Beta_0+I782*Beta_1+J782*Beta_2+K782*Beta_3+L782*Beta_4+M782*Beta_5</f>
        <v/>
      </c>
      <c r="P782" s="12">
        <f>N782-O782</f>
        <v/>
      </c>
      <c r="Q782" s="13">
        <f>EXP(O782)*Smearing_Factor</f>
        <v/>
      </c>
    </row>
    <row r="783">
      <c r="A783" t="n">
        <v>782</v>
      </c>
      <c r="B783" t="inlineStr">
        <is>
          <t>Business, administration and law</t>
        </is>
      </c>
      <c r="C783" s="9" t="n">
        <v>3.18</v>
      </c>
      <c r="D783" t="n">
        <v>3</v>
      </c>
      <c r="E783" t="n">
        <v>0</v>
      </c>
      <c r="F783" t="n">
        <v>1</v>
      </c>
      <c r="G783" s="10" t="n">
        <v>2120</v>
      </c>
      <c r="H783" t="n">
        <v>1</v>
      </c>
      <c r="I783" s="11">
        <f>C783-CGPA_Mean</f>
        <v/>
      </c>
      <c r="J783">
        <f>D783</f>
        <v/>
      </c>
      <c r="K783">
        <f>E783</f>
        <v/>
      </c>
      <c r="L783">
        <f>F783</f>
        <v/>
      </c>
      <c r="M783" s="11">
        <f>I783*K783</f>
        <v/>
      </c>
      <c r="N783" s="12">
        <f>LN(G783)</f>
        <v/>
      </c>
      <c r="O783" s="12">
        <f>H783*Beta_0+I783*Beta_1+J783*Beta_2+K783*Beta_3+L783*Beta_4+M783*Beta_5</f>
        <v/>
      </c>
      <c r="P783" s="12">
        <f>N783-O783</f>
        <v/>
      </c>
      <c r="Q783" s="13">
        <f>EXP(O783)*Smearing_Factor</f>
        <v/>
      </c>
    </row>
    <row r="784">
      <c r="A784" t="n">
        <v>783</v>
      </c>
      <c r="B784" t="inlineStr">
        <is>
          <t>Education</t>
        </is>
      </c>
      <c r="C784" s="9" t="n">
        <v>3.02</v>
      </c>
      <c r="D784" t="n">
        <v>6</v>
      </c>
      <c r="E784" t="n">
        <v>0</v>
      </c>
      <c r="F784" t="n">
        <v>0</v>
      </c>
      <c r="G784" s="10" t="n">
        <v>1850</v>
      </c>
      <c r="H784" t="n">
        <v>1</v>
      </c>
      <c r="I784" s="11">
        <f>C784-CGPA_Mean</f>
        <v/>
      </c>
      <c r="J784">
        <f>D784</f>
        <v/>
      </c>
      <c r="K784">
        <f>E784</f>
        <v/>
      </c>
      <c r="L784">
        <f>F784</f>
        <v/>
      </c>
      <c r="M784" s="11">
        <f>I784*K784</f>
        <v/>
      </c>
      <c r="N784" s="12">
        <f>LN(G784)</f>
        <v/>
      </c>
      <c r="O784" s="12">
        <f>H784*Beta_0+I784*Beta_1+J784*Beta_2+K784*Beta_3+L784*Beta_4+M784*Beta_5</f>
        <v/>
      </c>
      <c r="P784" s="12">
        <f>N784-O784</f>
        <v/>
      </c>
      <c r="Q784" s="13">
        <f>EXP(O784)*Smearing_Factor</f>
        <v/>
      </c>
    </row>
    <row r="785">
      <c r="A785" t="n">
        <v>784</v>
      </c>
      <c r="B785" t="inlineStr">
        <is>
          <t>Engineering, manufacturing and construction</t>
        </is>
      </c>
      <c r="C785" s="9" t="n">
        <v>2.5</v>
      </c>
      <c r="D785" t="n">
        <v>6</v>
      </c>
      <c r="E785" t="n">
        <v>1</v>
      </c>
      <c r="F785" t="n">
        <v>0</v>
      </c>
      <c r="G785" s="10" t="n">
        <v>2380</v>
      </c>
      <c r="H785" t="n">
        <v>1</v>
      </c>
      <c r="I785" s="11">
        <f>C785-CGPA_Mean</f>
        <v/>
      </c>
      <c r="J785">
        <f>D785</f>
        <v/>
      </c>
      <c r="K785">
        <f>E785</f>
        <v/>
      </c>
      <c r="L785">
        <f>F785</f>
        <v/>
      </c>
      <c r="M785" s="11">
        <f>I785*K785</f>
        <v/>
      </c>
      <c r="N785" s="12">
        <f>LN(G785)</f>
        <v/>
      </c>
      <c r="O785" s="12">
        <f>H785*Beta_0+I785*Beta_1+J785*Beta_2+K785*Beta_3+L785*Beta_4+M785*Beta_5</f>
        <v/>
      </c>
      <c r="P785" s="12">
        <f>N785-O785</f>
        <v/>
      </c>
      <c r="Q785" s="13">
        <f>EXP(O785)*Smearing_Factor</f>
        <v/>
      </c>
    </row>
    <row r="786">
      <c r="A786" t="n">
        <v>785</v>
      </c>
      <c r="B786" t="inlineStr">
        <is>
          <t>Business, administration and law</t>
        </is>
      </c>
      <c r="C786" s="9" t="n">
        <v>3.14</v>
      </c>
      <c r="D786" t="n">
        <v>6</v>
      </c>
      <c r="E786" t="n">
        <v>0</v>
      </c>
      <c r="F786" t="n">
        <v>0</v>
      </c>
      <c r="G786" s="10" t="n">
        <v>3580</v>
      </c>
      <c r="H786" t="n">
        <v>1</v>
      </c>
      <c r="I786" s="11">
        <f>C786-CGPA_Mean</f>
        <v/>
      </c>
      <c r="J786">
        <f>D786</f>
        <v/>
      </c>
      <c r="K786">
        <f>E786</f>
        <v/>
      </c>
      <c r="L786">
        <f>F786</f>
        <v/>
      </c>
      <c r="M786" s="11">
        <f>I786*K786</f>
        <v/>
      </c>
      <c r="N786" s="12">
        <f>LN(G786)</f>
        <v/>
      </c>
      <c r="O786" s="12">
        <f>H786*Beta_0+I786*Beta_1+J786*Beta_2+K786*Beta_3+L786*Beta_4+M786*Beta_5</f>
        <v/>
      </c>
      <c r="P786" s="12">
        <f>N786-O786</f>
        <v/>
      </c>
      <c r="Q786" s="13">
        <f>EXP(O786)*Smearing_Factor</f>
        <v/>
      </c>
    </row>
    <row r="787">
      <c r="A787" t="n">
        <v>786</v>
      </c>
      <c r="B787" t="inlineStr">
        <is>
          <t>Engineering, manufacturing and construction</t>
        </is>
      </c>
      <c r="C787" s="9" t="n">
        <v>3.51</v>
      </c>
      <c r="D787" t="n">
        <v>9</v>
      </c>
      <c r="E787" t="n">
        <v>1</v>
      </c>
      <c r="F787" t="n">
        <v>0</v>
      </c>
      <c r="G787" s="10" t="n">
        <v>1590</v>
      </c>
      <c r="H787" t="n">
        <v>1</v>
      </c>
      <c r="I787" s="11">
        <f>C787-CGPA_Mean</f>
        <v/>
      </c>
      <c r="J787">
        <f>D787</f>
        <v/>
      </c>
      <c r="K787">
        <f>E787</f>
        <v/>
      </c>
      <c r="L787">
        <f>F787</f>
        <v/>
      </c>
      <c r="M787" s="11">
        <f>I787*K787</f>
        <v/>
      </c>
      <c r="N787" s="12">
        <f>LN(G787)</f>
        <v/>
      </c>
      <c r="O787" s="12">
        <f>H787*Beta_0+I787*Beta_1+J787*Beta_2+K787*Beta_3+L787*Beta_4+M787*Beta_5</f>
        <v/>
      </c>
      <c r="P787" s="12">
        <f>N787-O787</f>
        <v/>
      </c>
      <c r="Q787" s="13">
        <f>EXP(O787)*Smearing_Factor</f>
        <v/>
      </c>
    </row>
    <row r="788">
      <c r="A788" t="n">
        <v>787</v>
      </c>
      <c r="B788" t="inlineStr">
        <is>
          <t>Business, administration and law</t>
        </is>
      </c>
      <c r="C788" s="9" t="n">
        <v>3.41</v>
      </c>
      <c r="D788" t="n">
        <v>6</v>
      </c>
      <c r="E788" t="n">
        <v>0</v>
      </c>
      <c r="F788" t="n">
        <v>0</v>
      </c>
      <c r="G788" s="10" t="n">
        <v>2050</v>
      </c>
      <c r="H788" t="n">
        <v>1</v>
      </c>
      <c r="I788" s="11">
        <f>C788-CGPA_Mean</f>
        <v/>
      </c>
      <c r="J788">
        <f>D788</f>
        <v/>
      </c>
      <c r="K788">
        <f>E788</f>
        <v/>
      </c>
      <c r="L788">
        <f>F788</f>
        <v/>
      </c>
      <c r="M788" s="11">
        <f>I788*K788</f>
        <v/>
      </c>
      <c r="N788" s="12">
        <f>LN(G788)</f>
        <v/>
      </c>
      <c r="O788" s="12">
        <f>H788*Beta_0+I788*Beta_1+J788*Beta_2+K788*Beta_3+L788*Beta_4+M788*Beta_5</f>
        <v/>
      </c>
      <c r="P788" s="12">
        <f>N788-O788</f>
        <v/>
      </c>
      <c r="Q788" s="13">
        <f>EXP(O788)*Smearing_Factor</f>
        <v/>
      </c>
    </row>
    <row r="789">
      <c r="A789" t="n">
        <v>788</v>
      </c>
      <c r="B789" t="inlineStr">
        <is>
          <t>Engineering, manufacturing and construction</t>
        </is>
      </c>
      <c r="C789" s="9" t="n">
        <v>3.78</v>
      </c>
      <c r="D789" t="n">
        <v>9</v>
      </c>
      <c r="E789" t="n">
        <v>1</v>
      </c>
      <c r="F789" t="n">
        <v>0</v>
      </c>
      <c r="G789" s="10" t="n">
        <v>4270</v>
      </c>
      <c r="H789" t="n">
        <v>1</v>
      </c>
      <c r="I789" s="11">
        <f>C789-CGPA_Mean</f>
        <v/>
      </c>
      <c r="J789">
        <f>D789</f>
        <v/>
      </c>
      <c r="K789">
        <f>E789</f>
        <v/>
      </c>
      <c r="L789">
        <f>F789</f>
        <v/>
      </c>
      <c r="M789" s="11">
        <f>I789*K789</f>
        <v/>
      </c>
      <c r="N789" s="12">
        <f>LN(G789)</f>
        <v/>
      </c>
      <c r="O789" s="12">
        <f>H789*Beta_0+I789*Beta_1+J789*Beta_2+K789*Beta_3+L789*Beta_4+M789*Beta_5</f>
        <v/>
      </c>
      <c r="P789" s="12">
        <f>N789-O789</f>
        <v/>
      </c>
      <c r="Q789" s="13">
        <f>EXP(O789)*Smearing_Factor</f>
        <v/>
      </c>
    </row>
    <row r="790">
      <c r="A790" t="n">
        <v>789</v>
      </c>
      <c r="B790" t="inlineStr">
        <is>
          <t>Business, administration and law</t>
        </is>
      </c>
      <c r="C790" s="9" t="n">
        <v>3.46</v>
      </c>
      <c r="D790" t="n">
        <v>6</v>
      </c>
      <c r="E790" t="n">
        <v>0</v>
      </c>
      <c r="F790" t="n">
        <v>0</v>
      </c>
      <c r="G790" s="10" t="n">
        <v>2630</v>
      </c>
      <c r="H790" t="n">
        <v>1</v>
      </c>
      <c r="I790" s="11">
        <f>C790-CGPA_Mean</f>
        <v/>
      </c>
      <c r="J790">
        <f>D790</f>
        <v/>
      </c>
      <c r="K790">
        <f>E790</f>
        <v/>
      </c>
      <c r="L790">
        <f>F790</f>
        <v/>
      </c>
      <c r="M790" s="11">
        <f>I790*K790</f>
        <v/>
      </c>
      <c r="N790" s="12">
        <f>LN(G790)</f>
        <v/>
      </c>
      <c r="O790" s="12">
        <f>H790*Beta_0+I790*Beta_1+J790*Beta_2+K790*Beta_3+L790*Beta_4+M790*Beta_5</f>
        <v/>
      </c>
      <c r="P790" s="12">
        <f>N790-O790</f>
        <v/>
      </c>
      <c r="Q790" s="13">
        <f>EXP(O790)*Smearing_Factor</f>
        <v/>
      </c>
    </row>
    <row r="791">
      <c r="A791" t="n">
        <v>790</v>
      </c>
      <c r="B791" t="inlineStr">
        <is>
          <t>Engineering, manufacturing and construction</t>
        </is>
      </c>
      <c r="C791" s="9" t="n">
        <v>2.94</v>
      </c>
      <c r="D791" t="n">
        <v>3</v>
      </c>
      <c r="E791" t="n">
        <v>1</v>
      </c>
      <c r="F791" t="n">
        <v>0</v>
      </c>
      <c r="G791" s="10" t="n">
        <v>1760</v>
      </c>
      <c r="H791" t="n">
        <v>1</v>
      </c>
      <c r="I791" s="11">
        <f>C791-CGPA_Mean</f>
        <v/>
      </c>
      <c r="J791">
        <f>D791</f>
        <v/>
      </c>
      <c r="K791">
        <f>E791</f>
        <v/>
      </c>
      <c r="L791">
        <f>F791</f>
        <v/>
      </c>
      <c r="M791" s="11">
        <f>I791*K791</f>
        <v/>
      </c>
      <c r="N791" s="12">
        <f>LN(G791)</f>
        <v/>
      </c>
      <c r="O791" s="12">
        <f>H791*Beta_0+I791*Beta_1+J791*Beta_2+K791*Beta_3+L791*Beta_4+M791*Beta_5</f>
        <v/>
      </c>
      <c r="P791" s="12">
        <f>N791-O791</f>
        <v/>
      </c>
      <c r="Q791" s="13">
        <f>EXP(O791)*Smearing_Factor</f>
        <v/>
      </c>
    </row>
    <row r="792">
      <c r="A792" t="n">
        <v>791</v>
      </c>
      <c r="B792" t="inlineStr">
        <is>
          <t>Arts and humanities</t>
        </is>
      </c>
      <c r="C792" s="9" t="n">
        <v>3.1</v>
      </c>
      <c r="D792" t="n">
        <v>6</v>
      </c>
      <c r="E792" t="n">
        <v>0</v>
      </c>
      <c r="F792" t="n">
        <v>1</v>
      </c>
      <c r="G792" s="10" t="n">
        <v>1130</v>
      </c>
      <c r="H792" t="n">
        <v>1</v>
      </c>
      <c r="I792" s="11">
        <f>C792-CGPA_Mean</f>
        <v/>
      </c>
      <c r="J792">
        <f>D792</f>
        <v/>
      </c>
      <c r="K792">
        <f>E792</f>
        <v/>
      </c>
      <c r="L792">
        <f>F792</f>
        <v/>
      </c>
      <c r="M792" s="11">
        <f>I792*K792</f>
        <v/>
      </c>
      <c r="N792" s="12">
        <f>LN(G792)</f>
        <v/>
      </c>
      <c r="O792" s="12">
        <f>H792*Beta_0+I792*Beta_1+J792*Beta_2+K792*Beta_3+L792*Beta_4+M792*Beta_5</f>
        <v/>
      </c>
      <c r="P792" s="12">
        <f>N792-O792</f>
        <v/>
      </c>
      <c r="Q792" s="13">
        <f>EXP(O792)*Smearing_Factor</f>
        <v/>
      </c>
    </row>
    <row r="793">
      <c r="A793" t="n">
        <v>792</v>
      </c>
      <c r="B793" t="inlineStr">
        <is>
          <t>Engineering, manufacturing and construction</t>
        </is>
      </c>
      <c r="C793" s="9" t="n">
        <v>3.09</v>
      </c>
      <c r="D793" t="n">
        <v>6</v>
      </c>
      <c r="E793" t="n">
        <v>1</v>
      </c>
      <c r="F793" t="n">
        <v>0</v>
      </c>
      <c r="G793" s="10" t="n">
        <v>3900</v>
      </c>
      <c r="H793" t="n">
        <v>1</v>
      </c>
      <c r="I793" s="11">
        <f>C793-CGPA_Mean</f>
        <v/>
      </c>
      <c r="J793">
        <f>D793</f>
        <v/>
      </c>
      <c r="K793">
        <f>E793</f>
        <v/>
      </c>
      <c r="L793">
        <f>F793</f>
        <v/>
      </c>
      <c r="M793" s="11">
        <f>I793*K793</f>
        <v/>
      </c>
      <c r="N793" s="12">
        <f>LN(G793)</f>
        <v/>
      </c>
      <c r="O793" s="12">
        <f>H793*Beta_0+I793*Beta_1+J793*Beta_2+K793*Beta_3+L793*Beta_4+M793*Beta_5</f>
        <v/>
      </c>
      <c r="P793" s="12">
        <f>N793-O793</f>
        <v/>
      </c>
      <c r="Q793" s="13">
        <f>EXP(O793)*Smearing_Factor</f>
        <v/>
      </c>
    </row>
    <row r="794">
      <c r="A794" t="n">
        <v>793</v>
      </c>
      <c r="B794" t="inlineStr">
        <is>
          <t>Business, administration and law</t>
        </is>
      </c>
      <c r="C794" s="9" t="n">
        <v>3.19</v>
      </c>
      <c r="D794" t="n">
        <v>6</v>
      </c>
      <c r="E794" t="n">
        <v>0</v>
      </c>
      <c r="F794" t="n">
        <v>0</v>
      </c>
      <c r="G794" s="10" t="n">
        <v>2190</v>
      </c>
      <c r="H794" t="n">
        <v>1</v>
      </c>
      <c r="I794" s="11">
        <f>C794-CGPA_Mean</f>
        <v/>
      </c>
      <c r="J794">
        <f>D794</f>
        <v/>
      </c>
      <c r="K794">
        <f>E794</f>
        <v/>
      </c>
      <c r="L794">
        <f>F794</f>
        <v/>
      </c>
      <c r="M794" s="11">
        <f>I794*K794</f>
        <v/>
      </c>
      <c r="N794" s="12">
        <f>LN(G794)</f>
        <v/>
      </c>
      <c r="O794" s="12">
        <f>H794*Beta_0+I794*Beta_1+J794*Beta_2+K794*Beta_3+L794*Beta_4+M794*Beta_5</f>
        <v/>
      </c>
      <c r="P794" s="12">
        <f>N794-O794</f>
        <v/>
      </c>
      <c r="Q794" s="13">
        <f>EXP(O794)*Smearing_Factor</f>
        <v/>
      </c>
    </row>
    <row r="795">
      <c r="A795" t="n">
        <v>794</v>
      </c>
      <c r="B795" t="inlineStr">
        <is>
          <t>Business, administration and law</t>
        </is>
      </c>
      <c r="C795" s="9" t="n">
        <v>3.56</v>
      </c>
      <c r="D795" t="n">
        <v>9</v>
      </c>
      <c r="E795" t="n">
        <v>0</v>
      </c>
      <c r="F795" t="n">
        <v>0</v>
      </c>
      <c r="G795" s="10" t="n">
        <v>2250</v>
      </c>
      <c r="H795" t="n">
        <v>1</v>
      </c>
      <c r="I795" s="11">
        <f>C795-CGPA_Mean</f>
        <v/>
      </c>
      <c r="J795">
        <f>D795</f>
        <v/>
      </c>
      <c r="K795">
        <f>E795</f>
        <v/>
      </c>
      <c r="L795">
        <f>F795</f>
        <v/>
      </c>
      <c r="M795" s="11">
        <f>I795*K795</f>
        <v/>
      </c>
      <c r="N795" s="12">
        <f>LN(G795)</f>
        <v/>
      </c>
      <c r="O795" s="12">
        <f>H795*Beta_0+I795*Beta_1+J795*Beta_2+K795*Beta_3+L795*Beta_4+M795*Beta_5</f>
        <v/>
      </c>
      <c r="P795" s="12">
        <f>N795-O795</f>
        <v/>
      </c>
      <c r="Q795" s="13">
        <f>EXP(O795)*Smearing_Factor</f>
        <v/>
      </c>
    </row>
    <row r="796">
      <c r="A796" t="n">
        <v>795</v>
      </c>
      <c r="B796" t="inlineStr">
        <is>
          <t>Arts and humanities</t>
        </is>
      </c>
      <c r="C796" s="9" t="n">
        <v>3.76</v>
      </c>
      <c r="D796" t="n">
        <v>9</v>
      </c>
      <c r="E796" t="n">
        <v>0</v>
      </c>
      <c r="F796" t="n">
        <v>0</v>
      </c>
      <c r="G796" s="10" t="n">
        <v>1170</v>
      </c>
      <c r="H796" t="n">
        <v>1</v>
      </c>
      <c r="I796" s="11">
        <f>C796-CGPA_Mean</f>
        <v/>
      </c>
      <c r="J796">
        <f>D796</f>
        <v/>
      </c>
      <c r="K796">
        <f>E796</f>
        <v/>
      </c>
      <c r="L796">
        <f>F796</f>
        <v/>
      </c>
      <c r="M796" s="11">
        <f>I796*K796</f>
        <v/>
      </c>
      <c r="N796" s="12">
        <f>LN(G796)</f>
        <v/>
      </c>
      <c r="O796" s="12">
        <f>H796*Beta_0+I796*Beta_1+J796*Beta_2+K796*Beta_3+L796*Beta_4+M796*Beta_5</f>
        <v/>
      </c>
      <c r="P796" s="12">
        <f>N796-O796</f>
        <v/>
      </c>
      <c r="Q796" s="13">
        <f>EXP(O796)*Smearing_Factor</f>
        <v/>
      </c>
    </row>
    <row r="797">
      <c r="A797" t="n">
        <v>796</v>
      </c>
      <c r="B797" t="inlineStr">
        <is>
          <t>Education</t>
        </is>
      </c>
      <c r="C797" s="9" t="n">
        <v>3.31</v>
      </c>
      <c r="D797" t="n">
        <v>6</v>
      </c>
      <c r="E797" t="n">
        <v>0</v>
      </c>
      <c r="F797" t="n">
        <v>0</v>
      </c>
      <c r="G797" s="10" t="n">
        <v>1810</v>
      </c>
      <c r="H797" t="n">
        <v>1</v>
      </c>
      <c r="I797" s="11">
        <f>C797-CGPA_Mean</f>
        <v/>
      </c>
      <c r="J797">
        <f>D797</f>
        <v/>
      </c>
      <c r="K797">
        <f>E797</f>
        <v/>
      </c>
      <c r="L797">
        <f>F797</f>
        <v/>
      </c>
      <c r="M797" s="11">
        <f>I797*K797</f>
        <v/>
      </c>
      <c r="N797" s="12">
        <f>LN(G797)</f>
        <v/>
      </c>
      <c r="O797" s="12">
        <f>H797*Beta_0+I797*Beta_1+J797*Beta_2+K797*Beta_3+L797*Beta_4+M797*Beta_5</f>
        <v/>
      </c>
      <c r="P797" s="12">
        <f>N797-O797</f>
        <v/>
      </c>
      <c r="Q797" s="13">
        <f>EXP(O797)*Smearing_Factor</f>
        <v/>
      </c>
    </row>
    <row r="798">
      <c r="A798" t="n">
        <v>797</v>
      </c>
      <c r="B798" t="inlineStr">
        <is>
          <t>Business, administration and law</t>
        </is>
      </c>
      <c r="C798" s="9" t="n">
        <v>2.93</v>
      </c>
      <c r="D798" t="n">
        <v>9</v>
      </c>
      <c r="E798" t="n">
        <v>0</v>
      </c>
      <c r="F798" t="n">
        <v>0</v>
      </c>
      <c r="G798" s="10" t="n">
        <v>3610</v>
      </c>
      <c r="H798" t="n">
        <v>1</v>
      </c>
      <c r="I798" s="11">
        <f>C798-CGPA_Mean</f>
        <v/>
      </c>
      <c r="J798">
        <f>D798</f>
        <v/>
      </c>
      <c r="K798">
        <f>E798</f>
        <v/>
      </c>
      <c r="L798">
        <f>F798</f>
        <v/>
      </c>
      <c r="M798" s="11">
        <f>I798*K798</f>
        <v/>
      </c>
      <c r="N798" s="12">
        <f>LN(G798)</f>
        <v/>
      </c>
      <c r="O798" s="12">
        <f>H798*Beta_0+I798*Beta_1+J798*Beta_2+K798*Beta_3+L798*Beta_4+M798*Beta_5</f>
        <v/>
      </c>
      <c r="P798" s="12">
        <f>N798-O798</f>
        <v/>
      </c>
      <c r="Q798" s="13">
        <f>EXP(O798)*Smearing_Factor</f>
        <v/>
      </c>
    </row>
    <row r="799">
      <c r="A799" t="n">
        <v>798</v>
      </c>
      <c r="B799" t="inlineStr">
        <is>
          <t>Business, administration and law</t>
        </is>
      </c>
      <c r="C799" s="9" t="n">
        <v>2.53</v>
      </c>
      <c r="D799" t="n">
        <v>6</v>
      </c>
      <c r="E799" t="n">
        <v>0</v>
      </c>
      <c r="F799" t="n">
        <v>0</v>
      </c>
      <c r="G799" s="10" t="n">
        <v>1970</v>
      </c>
      <c r="H799" t="n">
        <v>1</v>
      </c>
      <c r="I799" s="11">
        <f>C799-CGPA_Mean</f>
        <v/>
      </c>
      <c r="J799">
        <f>D799</f>
        <v/>
      </c>
      <c r="K799">
        <f>E799</f>
        <v/>
      </c>
      <c r="L799">
        <f>F799</f>
        <v/>
      </c>
      <c r="M799" s="11">
        <f>I799*K799</f>
        <v/>
      </c>
      <c r="N799" s="12">
        <f>LN(G799)</f>
        <v/>
      </c>
      <c r="O799" s="12">
        <f>H799*Beta_0+I799*Beta_1+J799*Beta_2+K799*Beta_3+L799*Beta_4+M799*Beta_5</f>
        <v/>
      </c>
      <c r="P799" s="12">
        <f>N799-O799</f>
        <v/>
      </c>
      <c r="Q799" s="13">
        <f>EXP(O799)*Smearing_Factor</f>
        <v/>
      </c>
    </row>
    <row r="800">
      <c r="A800" t="n">
        <v>799</v>
      </c>
      <c r="B800" t="inlineStr">
        <is>
          <t>Information and communication technologies</t>
        </is>
      </c>
      <c r="C800" s="9" t="n">
        <v>3.53</v>
      </c>
      <c r="D800" t="n">
        <v>6</v>
      </c>
      <c r="E800" t="n">
        <v>1</v>
      </c>
      <c r="F800" t="n">
        <v>0</v>
      </c>
      <c r="G800" s="10" t="n">
        <v>2640</v>
      </c>
      <c r="H800" t="n">
        <v>1</v>
      </c>
      <c r="I800" s="11">
        <f>C800-CGPA_Mean</f>
        <v/>
      </c>
      <c r="J800">
        <f>D800</f>
        <v/>
      </c>
      <c r="K800">
        <f>E800</f>
        <v/>
      </c>
      <c r="L800">
        <f>F800</f>
        <v/>
      </c>
      <c r="M800" s="11">
        <f>I800*K800</f>
        <v/>
      </c>
      <c r="N800" s="12">
        <f>LN(G800)</f>
        <v/>
      </c>
      <c r="O800" s="12">
        <f>H800*Beta_0+I800*Beta_1+J800*Beta_2+K800*Beta_3+L800*Beta_4+M800*Beta_5</f>
        <v/>
      </c>
      <c r="P800" s="12">
        <f>N800-O800</f>
        <v/>
      </c>
      <c r="Q800" s="13">
        <f>EXP(O800)*Smearing_Factor</f>
        <v/>
      </c>
    </row>
    <row r="801">
      <c r="A801" t="n">
        <v>800</v>
      </c>
      <c r="B801" t="inlineStr">
        <is>
          <t>Natural sciences, mathematics and statistics</t>
        </is>
      </c>
      <c r="C801" s="9" t="n">
        <v>3.38</v>
      </c>
      <c r="D801" t="n">
        <v>9</v>
      </c>
      <c r="E801" t="n">
        <v>1</v>
      </c>
      <c r="F801" t="n">
        <v>0</v>
      </c>
      <c r="G801" s="10" t="n">
        <v>3330</v>
      </c>
      <c r="H801" t="n">
        <v>1</v>
      </c>
      <c r="I801" s="11">
        <f>C801-CGPA_Mean</f>
        <v/>
      </c>
      <c r="J801">
        <f>D801</f>
        <v/>
      </c>
      <c r="K801">
        <f>E801</f>
        <v/>
      </c>
      <c r="L801">
        <f>F801</f>
        <v/>
      </c>
      <c r="M801" s="11">
        <f>I801*K801</f>
        <v/>
      </c>
      <c r="N801" s="12">
        <f>LN(G801)</f>
        <v/>
      </c>
      <c r="O801" s="12">
        <f>H801*Beta_0+I801*Beta_1+J801*Beta_2+K801*Beta_3+L801*Beta_4+M801*Beta_5</f>
        <v/>
      </c>
      <c r="P801" s="12">
        <f>N801-O801</f>
        <v/>
      </c>
      <c r="Q801" s="13">
        <f>EXP(O801)*Smearing_Factor</f>
        <v/>
      </c>
    </row>
    <row r="802">
      <c r="A802" t="n">
        <v>801</v>
      </c>
      <c r="B802" t="inlineStr">
        <is>
          <t>Engineering, manufacturing and construction</t>
        </is>
      </c>
      <c r="C802" s="9" t="n">
        <v>3.28</v>
      </c>
      <c r="D802" t="n">
        <v>3</v>
      </c>
      <c r="E802" t="n">
        <v>1</v>
      </c>
      <c r="F802" t="n">
        <v>0</v>
      </c>
      <c r="G802" s="10" t="n">
        <v>2700</v>
      </c>
      <c r="H802" t="n">
        <v>1</v>
      </c>
      <c r="I802" s="11">
        <f>C802-CGPA_Mean</f>
        <v/>
      </c>
      <c r="J802">
        <f>D802</f>
        <v/>
      </c>
      <c r="K802">
        <f>E802</f>
        <v/>
      </c>
      <c r="L802">
        <f>F802</f>
        <v/>
      </c>
      <c r="M802" s="11">
        <f>I802*K802</f>
        <v/>
      </c>
      <c r="N802" s="12">
        <f>LN(G802)</f>
        <v/>
      </c>
      <c r="O802" s="12">
        <f>H802*Beta_0+I802*Beta_1+J802*Beta_2+K802*Beta_3+L802*Beta_4+M802*Beta_5</f>
        <v/>
      </c>
      <c r="P802" s="12">
        <f>N802-O802</f>
        <v/>
      </c>
      <c r="Q802" s="13">
        <f>EXP(O802)*Smearing_Factor</f>
        <v/>
      </c>
    </row>
    <row r="803">
      <c r="A803" t="n">
        <v>802</v>
      </c>
      <c r="B803" t="inlineStr">
        <is>
          <t>Engineering, manufacturing and construction</t>
        </is>
      </c>
      <c r="C803" s="9" t="n">
        <v>3.98</v>
      </c>
      <c r="D803" t="n">
        <v>6</v>
      </c>
      <c r="E803" t="n">
        <v>1</v>
      </c>
      <c r="F803" t="n">
        <v>0</v>
      </c>
      <c r="G803" s="10" t="n">
        <v>2330</v>
      </c>
      <c r="H803" t="n">
        <v>1</v>
      </c>
      <c r="I803" s="11">
        <f>C803-CGPA_Mean</f>
        <v/>
      </c>
      <c r="J803">
        <f>D803</f>
        <v/>
      </c>
      <c r="K803">
        <f>E803</f>
        <v/>
      </c>
      <c r="L803">
        <f>F803</f>
        <v/>
      </c>
      <c r="M803" s="11">
        <f>I803*K803</f>
        <v/>
      </c>
      <c r="N803" s="12">
        <f>LN(G803)</f>
        <v/>
      </c>
      <c r="O803" s="12">
        <f>H803*Beta_0+I803*Beta_1+J803*Beta_2+K803*Beta_3+L803*Beta_4+M803*Beta_5</f>
        <v/>
      </c>
      <c r="P803" s="12">
        <f>N803-O803</f>
        <v/>
      </c>
      <c r="Q803" s="13">
        <f>EXP(O803)*Smearing_Factor</f>
        <v/>
      </c>
    </row>
    <row r="804">
      <c r="A804" t="n">
        <v>803</v>
      </c>
      <c r="B804" t="inlineStr">
        <is>
          <t>Services</t>
        </is>
      </c>
      <c r="C804" s="9" t="n">
        <v>3.46</v>
      </c>
      <c r="D804" t="n">
        <v>6</v>
      </c>
      <c r="E804" t="n">
        <v>0</v>
      </c>
      <c r="F804" t="n">
        <v>0</v>
      </c>
      <c r="G804" s="10" t="n">
        <v>2350</v>
      </c>
      <c r="H804" t="n">
        <v>1</v>
      </c>
      <c r="I804" s="11">
        <f>C804-CGPA_Mean</f>
        <v/>
      </c>
      <c r="J804">
        <f>D804</f>
        <v/>
      </c>
      <c r="K804">
        <f>E804</f>
        <v/>
      </c>
      <c r="L804">
        <f>F804</f>
        <v/>
      </c>
      <c r="M804" s="11">
        <f>I804*K804</f>
        <v/>
      </c>
      <c r="N804" s="12">
        <f>LN(G804)</f>
        <v/>
      </c>
      <c r="O804" s="12">
        <f>H804*Beta_0+I804*Beta_1+J804*Beta_2+K804*Beta_3+L804*Beta_4+M804*Beta_5</f>
        <v/>
      </c>
      <c r="P804" s="12">
        <f>N804-O804</f>
        <v/>
      </c>
      <c r="Q804" s="13">
        <f>EXP(O804)*Smearing_Factor</f>
        <v/>
      </c>
    </row>
    <row r="805">
      <c r="A805" t="n">
        <v>804</v>
      </c>
      <c r="B805" t="inlineStr">
        <is>
          <t>Engineering, manufacturing and construction</t>
        </is>
      </c>
      <c r="C805" s="9" t="n">
        <v>3.77</v>
      </c>
      <c r="D805" t="n">
        <v>6</v>
      </c>
      <c r="E805" t="n">
        <v>1</v>
      </c>
      <c r="F805" t="n">
        <v>1</v>
      </c>
      <c r="G805" s="10" t="n">
        <v>2280</v>
      </c>
      <c r="H805" t="n">
        <v>1</v>
      </c>
      <c r="I805" s="11">
        <f>C805-CGPA_Mean</f>
        <v/>
      </c>
      <c r="J805">
        <f>D805</f>
        <v/>
      </c>
      <c r="K805">
        <f>E805</f>
        <v/>
      </c>
      <c r="L805">
        <f>F805</f>
        <v/>
      </c>
      <c r="M805" s="11">
        <f>I805*K805</f>
        <v/>
      </c>
      <c r="N805" s="12">
        <f>LN(G805)</f>
        <v/>
      </c>
      <c r="O805" s="12">
        <f>H805*Beta_0+I805*Beta_1+J805*Beta_2+K805*Beta_3+L805*Beta_4+M805*Beta_5</f>
        <v/>
      </c>
      <c r="P805" s="12">
        <f>N805-O805</f>
        <v/>
      </c>
      <c r="Q805" s="13">
        <f>EXP(O805)*Smearing_Factor</f>
        <v/>
      </c>
    </row>
    <row r="806">
      <c r="A806" t="n">
        <v>805</v>
      </c>
      <c r="B806" t="inlineStr">
        <is>
          <t>Natural sciences, mathematics and statistics</t>
        </is>
      </c>
      <c r="C806" s="9" t="n">
        <v>3.64</v>
      </c>
      <c r="D806" t="n">
        <v>3</v>
      </c>
      <c r="E806" t="n">
        <v>1</v>
      </c>
      <c r="F806" t="n">
        <v>0</v>
      </c>
      <c r="G806" s="10" t="n">
        <v>2160</v>
      </c>
      <c r="H806" t="n">
        <v>1</v>
      </c>
      <c r="I806" s="11">
        <f>C806-CGPA_Mean</f>
        <v/>
      </c>
      <c r="J806">
        <f>D806</f>
        <v/>
      </c>
      <c r="K806">
        <f>E806</f>
        <v/>
      </c>
      <c r="L806">
        <f>F806</f>
        <v/>
      </c>
      <c r="M806" s="11">
        <f>I806*K806</f>
        <v/>
      </c>
      <c r="N806" s="12">
        <f>LN(G806)</f>
        <v/>
      </c>
      <c r="O806" s="12">
        <f>H806*Beta_0+I806*Beta_1+J806*Beta_2+K806*Beta_3+L806*Beta_4+M806*Beta_5</f>
        <v/>
      </c>
      <c r="P806" s="12">
        <f>N806-O806</f>
        <v/>
      </c>
      <c r="Q806" s="13">
        <f>EXP(O806)*Smearing_Factor</f>
        <v/>
      </c>
    </row>
    <row r="807">
      <c r="A807" t="n">
        <v>806</v>
      </c>
      <c r="B807" t="inlineStr">
        <is>
          <t>Natural sciences, mathematics and statistics</t>
        </is>
      </c>
      <c r="C807" s="9" t="n">
        <v>3.7</v>
      </c>
      <c r="D807" t="n">
        <v>6</v>
      </c>
      <c r="E807" t="n">
        <v>1</v>
      </c>
      <c r="F807" t="n">
        <v>0</v>
      </c>
      <c r="G807" s="10" t="n">
        <v>2890</v>
      </c>
      <c r="H807" t="n">
        <v>1</v>
      </c>
      <c r="I807" s="11">
        <f>C807-CGPA_Mean</f>
        <v/>
      </c>
      <c r="J807">
        <f>D807</f>
        <v/>
      </c>
      <c r="K807">
        <f>E807</f>
        <v/>
      </c>
      <c r="L807">
        <f>F807</f>
        <v/>
      </c>
      <c r="M807" s="11">
        <f>I807*K807</f>
        <v/>
      </c>
      <c r="N807" s="12">
        <f>LN(G807)</f>
        <v/>
      </c>
      <c r="O807" s="12">
        <f>H807*Beta_0+I807*Beta_1+J807*Beta_2+K807*Beta_3+L807*Beta_4+M807*Beta_5</f>
        <v/>
      </c>
      <c r="P807" s="12">
        <f>N807-O807</f>
        <v/>
      </c>
      <c r="Q807" s="13">
        <f>EXP(O807)*Smearing_Factor</f>
        <v/>
      </c>
    </row>
    <row r="808">
      <c r="A808" t="n">
        <v>807</v>
      </c>
      <c r="B808" t="inlineStr">
        <is>
          <t>Information and communication technologies</t>
        </is>
      </c>
      <c r="C808" s="9" t="n">
        <v>3.56</v>
      </c>
      <c r="D808" t="n">
        <v>6</v>
      </c>
      <c r="E808" t="n">
        <v>1</v>
      </c>
      <c r="F808" t="n">
        <v>1</v>
      </c>
      <c r="G808" s="10" t="n">
        <v>8160</v>
      </c>
      <c r="H808" t="n">
        <v>1</v>
      </c>
      <c r="I808" s="11">
        <f>C808-CGPA_Mean</f>
        <v/>
      </c>
      <c r="J808">
        <f>D808</f>
        <v/>
      </c>
      <c r="K808">
        <f>E808</f>
        <v/>
      </c>
      <c r="L808">
        <f>F808</f>
        <v/>
      </c>
      <c r="M808" s="11">
        <f>I808*K808</f>
        <v/>
      </c>
      <c r="N808" s="12">
        <f>LN(G808)</f>
        <v/>
      </c>
      <c r="O808" s="12">
        <f>H808*Beta_0+I808*Beta_1+J808*Beta_2+K808*Beta_3+L808*Beta_4+M808*Beta_5</f>
        <v/>
      </c>
      <c r="P808" s="12">
        <f>N808-O808</f>
        <v/>
      </c>
      <c r="Q808" s="13">
        <f>EXP(O808)*Smearing_Factor</f>
        <v/>
      </c>
    </row>
    <row r="809">
      <c r="A809" t="n">
        <v>808</v>
      </c>
      <c r="B809" t="inlineStr">
        <is>
          <t>Engineering, manufacturing and construction</t>
        </is>
      </c>
      <c r="C809" s="9" t="n">
        <v>3.64</v>
      </c>
      <c r="D809" t="n">
        <v>9</v>
      </c>
      <c r="E809" t="n">
        <v>1</v>
      </c>
      <c r="F809" t="n">
        <v>1</v>
      </c>
      <c r="G809" s="10" t="n">
        <v>2880</v>
      </c>
      <c r="H809" t="n">
        <v>1</v>
      </c>
      <c r="I809" s="11">
        <f>C809-CGPA_Mean</f>
        <v/>
      </c>
      <c r="J809">
        <f>D809</f>
        <v/>
      </c>
      <c r="K809">
        <f>E809</f>
        <v/>
      </c>
      <c r="L809">
        <f>F809</f>
        <v/>
      </c>
      <c r="M809" s="11">
        <f>I809*K809</f>
        <v/>
      </c>
      <c r="N809" s="12">
        <f>LN(G809)</f>
        <v/>
      </c>
      <c r="O809" s="12">
        <f>H809*Beta_0+I809*Beta_1+J809*Beta_2+K809*Beta_3+L809*Beta_4+M809*Beta_5</f>
        <v/>
      </c>
      <c r="P809" s="12">
        <f>N809-O809</f>
        <v/>
      </c>
      <c r="Q809" s="13">
        <f>EXP(O809)*Smearing_Factor</f>
        <v/>
      </c>
    </row>
    <row r="810">
      <c r="A810" t="n">
        <v>809</v>
      </c>
      <c r="B810" t="inlineStr">
        <is>
          <t>Arts and humanities</t>
        </is>
      </c>
      <c r="C810" s="9" t="n">
        <v>3</v>
      </c>
      <c r="D810" t="n">
        <v>9</v>
      </c>
      <c r="E810" t="n">
        <v>0</v>
      </c>
      <c r="F810" t="n">
        <v>0</v>
      </c>
      <c r="G810" s="10" t="n">
        <v>1910</v>
      </c>
      <c r="H810" t="n">
        <v>1</v>
      </c>
      <c r="I810" s="11">
        <f>C810-CGPA_Mean</f>
        <v/>
      </c>
      <c r="J810">
        <f>D810</f>
        <v/>
      </c>
      <c r="K810">
        <f>E810</f>
        <v/>
      </c>
      <c r="L810">
        <f>F810</f>
        <v/>
      </c>
      <c r="M810" s="11">
        <f>I810*K810</f>
        <v/>
      </c>
      <c r="N810" s="12">
        <f>LN(G810)</f>
        <v/>
      </c>
      <c r="O810" s="12">
        <f>H810*Beta_0+I810*Beta_1+J810*Beta_2+K810*Beta_3+L810*Beta_4+M810*Beta_5</f>
        <v/>
      </c>
      <c r="P810" s="12">
        <f>N810-O810</f>
        <v/>
      </c>
      <c r="Q810" s="13">
        <f>EXP(O810)*Smearing_Factor</f>
        <v/>
      </c>
    </row>
    <row r="811">
      <c r="A811" t="n">
        <v>810</v>
      </c>
      <c r="B811" t="inlineStr">
        <is>
          <t>Services</t>
        </is>
      </c>
      <c r="C811" s="9" t="n">
        <v>3.21</v>
      </c>
      <c r="D811" t="n">
        <v>9</v>
      </c>
      <c r="E811" t="n">
        <v>0</v>
      </c>
      <c r="F811" t="n">
        <v>1</v>
      </c>
      <c r="G811" s="10" t="n">
        <v>2490</v>
      </c>
      <c r="H811" t="n">
        <v>1</v>
      </c>
      <c r="I811" s="11">
        <f>C811-CGPA_Mean</f>
        <v/>
      </c>
      <c r="J811">
        <f>D811</f>
        <v/>
      </c>
      <c r="K811">
        <f>E811</f>
        <v/>
      </c>
      <c r="L811">
        <f>F811</f>
        <v/>
      </c>
      <c r="M811" s="11">
        <f>I811*K811</f>
        <v/>
      </c>
      <c r="N811" s="12">
        <f>LN(G811)</f>
        <v/>
      </c>
      <c r="O811" s="12">
        <f>H811*Beta_0+I811*Beta_1+J811*Beta_2+K811*Beta_3+L811*Beta_4+M811*Beta_5</f>
        <v/>
      </c>
      <c r="P811" s="12">
        <f>N811-O811</f>
        <v/>
      </c>
      <c r="Q811" s="13">
        <f>EXP(O811)*Smearing_Factor</f>
        <v/>
      </c>
    </row>
    <row r="812">
      <c r="A812" t="n">
        <v>811</v>
      </c>
      <c r="B812" t="inlineStr">
        <is>
          <t>Business, administration and law</t>
        </is>
      </c>
      <c r="C812" s="9" t="n">
        <v>3.12</v>
      </c>
      <c r="D812" t="n">
        <v>3</v>
      </c>
      <c r="E812" t="n">
        <v>0</v>
      </c>
      <c r="F812" t="n">
        <v>0</v>
      </c>
      <c r="G812" s="10" t="n">
        <v>3130</v>
      </c>
      <c r="H812" t="n">
        <v>1</v>
      </c>
      <c r="I812" s="11">
        <f>C812-CGPA_Mean</f>
        <v/>
      </c>
      <c r="J812">
        <f>D812</f>
        <v/>
      </c>
      <c r="K812">
        <f>E812</f>
        <v/>
      </c>
      <c r="L812">
        <f>F812</f>
        <v/>
      </c>
      <c r="M812" s="11">
        <f>I812*K812</f>
        <v/>
      </c>
      <c r="N812" s="12">
        <f>LN(G812)</f>
        <v/>
      </c>
      <c r="O812" s="12">
        <f>H812*Beta_0+I812*Beta_1+J812*Beta_2+K812*Beta_3+L812*Beta_4+M812*Beta_5</f>
        <v/>
      </c>
      <c r="P812" s="12">
        <f>N812-O812</f>
        <v/>
      </c>
      <c r="Q812" s="13">
        <f>EXP(O812)*Smearing_Factor</f>
        <v/>
      </c>
    </row>
    <row r="813">
      <c r="A813" t="n">
        <v>812</v>
      </c>
      <c r="B813" t="inlineStr">
        <is>
          <t>Social sciences, journalism and information</t>
        </is>
      </c>
      <c r="C813" s="9" t="n">
        <v>3.12</v>
      </c>
      <c r="D813" t="n">
        <v>6</v>
      </c>
      <c r="E813" t="n">
        <v>0</v>
      </c>
      <c r="F813" t="n">
        <v>1</v>
      </c>
      <c r="G813" s="10" t="n">
        <v>1160</v>
      </c>
      <c r="H813" t="n">
        <v>1</v>
      </c>
      <c r="I813" s="11">
        <f>C813-CGPA_Mean</f>
        <v/>
      </c>
      <c r="J813">
        <f>D813</f>
        <v/>
      </c>
      <c r="K813">
        <f>E813</f>
        <v/>
      </c>
      <c r="L813">
        <f>F813</f>
        <v/>
      </c>
      <c r="M813" s="11">
        <f>I813*K813</f>
        <v/>
      </c>
      <c r="N813" s="12">
        <f>LN(G813)</f>
        <v/>
      </c>
      <c r="O813" s="12">
        <f>H813*Beta_0+I813*Beta_1+J813*Beta_2+K813*Beta_3+L813*Beta_4+M813*Beta_5</f>
        <v/>
      </c>
      <c r="P813" s="12">
        <f>N813-O813</f>
        <v/>
      </c>
      <c r="Q813" s="13">
        <f>EXP(O813)*Smearing_Factor</f>
        <v/>
      </c>
    </row>
    <row r="814">
      <c r="A814" t="n">
        <v>813</v>
      </c>
      <c r="B814" t="inlineStr">
        <is>
          <t>Business, administration and law</t>
        </is>
      </c>
      <c r="C814" s="9" t="n">
        <v>3.33</v>
      </c>
      <c r="D814" t="n">
        <v>3</v>
      </c>
      <c r="E814" t="n">
        <v>0</v>
      </c>
      <c r="F814" t="n">
        <v>0</v>
      </c>
      <c r="G814" s="10" t="n">
        <v>3470</v>
      </c>
      <c r="H814" t="n">
        <v>1</v>
      </c>
      <c r="I814" s="11">
        <f>C814-CGPA_Mean</f>
        <v/>
      </c>
      <c r="J814">
        <f>D814</f>
        <v/>
      </c>
      <c r="K814">
        <f>E814</f>
        <v/>
      </c>
      <c r="L814">
        <f>F814</f>
        <v/>
      </c>
      <c r="M814" s="11">
        <f>I814*K814</f>
        <v/>
      </c>
      <c r="N814" s="12">
        <f>LN(G814)</f>
        <v/>
      </c>
      <c r="O814" s="12">
        <f>H814*Beta_0+I814*Beta_1+J814*Beta_2+K814*Beta_3+L814*Beta_4+M814*Beta_5</f>
        <v/>
      </c>
      <c r="P814" s="12">
        <f>N814-O814</f>
        <v/>
      </c>
      <c r="Q814" s="13">
        <f>EXP(O814)*Smearing_Factor</f>
        <v/>
      </c>
    </row>
    <row r="815">
      <c r="A815" t="n">
        <v>814</v>
      </c>
      <c r="B815" t="inlineStr">
        <is>
          <t>Engineering, manufacturing and construction</t>
        </is>
      </c>
      <c r="C815" s="9" t="n">
        <v>3.82</v>
      </c>
      <c r="D815" t="n">
        <v>3</v>
      </c>
      <c r="E815" t="n">
        <v>1</v>
      </c>
      <c r="F815" t="n">
        <v>0</v>
      </c>
      <c r="G815" s="10" t="n">
        <v>3050</v>
      </c>
      <c r="H815" t="n">
        <v>1</v>
      </c>
      <c r="I815" s="11">
        <f>C815-CGPA_Mean</f>
        <v/>
      </c>
      <c r="J815">
        <f>D815</f>
        <v/>
      </c>
      <c r="K815">
        <f>E815</f>
        <v/>
      </c>
      <c r="L815">
        <f>F815</f>
        <v/>
      </c>
      <c r="M815" s="11">
        <f>I815*K815</f>
        <v/>
      </c>
      <c r="N815" s="12">
        <f>LN(G815)</f>
        <v/>
      </c>
      <c r="O815" s="12">
        <f>H815*Beta_0+I815*Beta_1+J815*Beta_2+K815*Beta_3+L815*Beta_4+M815*Beta_5</f>
        <v/>
      </c>
      <c r="P815" s="12">
        <f>N815-O815</f>
        <v/>
      </c>
      <c r="Q815" s="13">
        <f>EXP(O815)*Smearing_Factor</f>
        <v/>
      </c>
    </row>
    <row r="816">
      <c r="A816" t="n">
        <v>815</v>
      </c>
      <c r="B816" t="inlineStr">
        <is>
          <t>Information and communication technologies</t>
        </is>
      </c>
      <c r="C816" s="9" t="n">
        <v>3.5</v>
      </c>
      <c r="D816" t="n">
        <v>6</v>
      </c>
      <c r="E816" t="n">
        <v>1</v>
      </c>
      <c r="F816" t="n">
        <v>0</v>
      </c>
      <c r="G816" s="10" t="n">
        <v>3450</v>
      </c>
      <c r="H816" t="n">
        <v>1</v>
      </c>
      <c r="I816" s="11">
        <f>C816-CGPA_Mean</f>
        <v/>
      </c>
      <c r="J816">
        <f>D816</f>
        <v/>
      </c>
      <c r="K816">
        <f>E816</f>
        <v/>
      </c>
      <c r="L816">
        <f>F816</f>
        <v/>
      </c>
      <c r="M816" s="11">
        <f>I816*K816</f>
        <v/>
      </c>
      <c r="N816" s="12">
        <f>LN(G816)</f>
        <v/>
      </c>
      <c r="O816" s="12">
        <f>H816*Beta_0+I816*Beta_1+J816*Beta_2+K816*Beta_3+L816*Beta_4+M816*Beta_5</f>
        <v/>
      </c>
      <c r="P816" s="12">
        <f>N816-O816</f>
        <v/>
      </c>
      <c r="Q816" s="13">
        <f>EXP(O816)*Smearing_Factor</f>
        <v/>
      </c>
    </row>
    <row r="817">
      <c r="A817" t="n">
        <v>816</v>
      </c>
      <c r="B817" t="inlineStr">
        <is>
          <t>Business, administration and law</t>
        </is>
      </c>
      <c r="C817" s="9" t="n">
        <v>2.92</v>
      </c>
      <c r="D817" t="n">
        <v>6</v>
      </c>
      <c r="E817" t="n">
        <v>0</v>
      </c>
      <c r="F817" t="n">
        <v>0</v>
      </c>
      <c r="G817" s="10" t="n">
        <v>8490</v>
      </c>
      <c r="H817" t="n">
        <v>1</v>
      </c>
      <c r="I817" s="11">
        <f>C817-CGPA_Mean</f>
        <v/>
      </c>
      <c r="J817">
        <f>D817</f>
        <v/>
      </c>
      <c r="K817">
        <f>E817</f>
        <v/>
      </c>
      <c r="L817">
        <f>F817</f>
        <v/>
      </c>
      <c r="M817" s="11">
        <f>I817*K817</f>
        <v/>
      </c>
      <c r="N817" s="12">
        <f>LN(G817)</f>
        <v/>
      </c>
      <c r="O817" s="12">
        <f>H817*Beta_0+I817*Beta_1+J817*Beta_2+K817*Beta_3+L817*Beta_4+M817*Beta_5</f>
        <v/>
      </c>
      <c r="P817" s="12">
        <f>N817-O817</f>
        <v/>
      </c>
      <c r="Q817" s="13">
        <f>EXP(O817)*Smearing_Factor</f>
        <v/>
      </c>
    </row>
    <row r="818">
      <c r="A818" t="n">
        <v>817</v>
      </c>
      <c r="B818" t="inlineStr">
        <is>
          <t>Engineering, manufacturing and construction</t>
        </is>
      </c>
      <c r="C818" s="9" t="n">
        <v>3.11</v>
      </c>
      <c r="D818" t="n">
        <v>6</v>
      </c>
      <c r="E818" t="n">
        <v>1</v>
      </c>
      <c r="F818" t="n">
        <v>0</v>
      </c>
      <c r="G818" s="10" t="n">
        <v>3730</v>
      </c>
      <c r="H818" t="n">
        <v>1</v>
      </c>
      <c r="I818" s="11">
        <f>C818-CGPA_Mean</f>
        <v/>
      </c>
      <c r="J818">
        <f>D818</f>
        <v/>
      </c>
      <c r="K818">
        <f>E818</f>
        <v/>
      </c>
      <c r="L818">
        <f>F818</f>
        <v/>
      </c>
      <c r="M818" s="11">
        <f>I818*K818</f>
        <v/>
      </c>
      <c r="N818" s="12">
        <f>LN(G818)</f>
        <v/>
      </c>
      <c r="O818" s="12">
        <f>H818*Beta_0+I818*Beta_1+J818*Beta_2+K818*Beta_3+L818*Beta_4+M818*Beta_5</f>
        <v/>
      </c>
      <c r="P818" s="12">
        <f>N818-O818</f>
        <v/>
      </c>
      <c r="Q818" s="13">
        <f>EXP(O818)*Smearing_Factor</f>
        <v/>
      </c>
    </row>
    <row r="819">
      <c r="A819" t="n">
        <v>818</v>
      </c>
      <c r="B819" t="inlineStr">
        <is>
          <t>Engineering, manufacturing and construction</t>
        </is>
      </c>
      <c r="C819" s="9" t="n">
        <v>3.11</v>
      </c>
      <c r="D819" t="n">
        <v>6</v>
      </c>
      <c r="E819" t="n">
        <v>1</v>
      </c>
      <c r="F819" t="n">
        <v>1</v>
      </c>
      <c r="G819" s="10" t="n">
        <v>3040</v>
      </c>
      <c r="H819" t="n">
        <v>1</v>
      </c>
      <c r="I819" s="11">
        <f>C819-CGPA_Mean</f>
        <v/>
      </c>
      <c r="J819">
        <f>D819</f>
        <v/>
      </c>
      <c r="K819">
        <f>E819</f>
        <v/>
      </c>
      <c r="L819">
        <f>F819</f>
        <v/>
      </c>
      <c r="M819" s="11">
        <f>I819*K819</f>
        <v/>
      </c>
      <c r="N819" s="12">
        <f>LN(G819)</f>
        <v/>
      </c>
      <c r="O819" s="12">
        <f>H819*Beta_0+I819*Beta_1+J819*Beta_2+K819*Beta_3+L819*Beta_4+M819*Beta_5</f>
        <v/>
      </c>
      <c r="P819" s="12">
        <f>N819-O819</f>
        <v/>
      </c>
      <c r="Q819" s="13">
        <f>EXP(O819)*Smearing_Factor</f>
        <v/>
      </c>
    </row>
    <row r="820">
      <c r="A820" t="n">
        <v>819</v>
      </c>
      <c r="B820" t="inlineStr">
        <is>
          <t>Education</t>
        </is>
      </c>
      <c r="C820" s="9" t="n">
        <v>3.16</v>
      </c>
      <c r="D820" t="n">
        <v>6</v>
      </c>
      <c r="E820" t="n">
        <v>0</v>
      </c>
      <c r="F820" t="n">
        <v>0</v>
      </c>
      <c r="G820" s="10" t="n">
        <v>1300</v>
      </c>
      <c r="H820" t="n">
        <v>1</v>
      </c>
      <c r="I820" s="11">
        <f>C820-CGPA_Mean</f>
        <v/>
      </c>
      <c r="J820">
        <f>D820</f>
        <v/>
      </c>
      <c r="K820">
        <f>E820</f>
        <v/>
      </c>
      <c r="L820">
        <f>F820</f>
        <v/>
      </c>
      <c r="M820" s="11">
        <f>I820*K820</f>
        <v/>
      </c>
      <c r="N820" s="12">
        <f>LN(G820)</f>
        <v/>
      </c>
      <c r="O820" s="12">
        <f>H820*Beta_0+I820*Beta_1+J820*Beta_2+K820*Beta_3+L820*Beta_4+M820*Beta_5</f>
        <v/>
      </c>
      <c r="P820" s="12">
        <f>N820-O820</f>
        <v/>
      </c>
      <c r="Q820" s="13">
        <f>EXP(O820)*Smearing_Factor</f>
        <v/>
      </c>
    </row>
    <row r="821">
      <c r="A821" t="n">
        <v>820</v>
      </c>
      <c r="B821" t="inlineStr">
        <is>
          <t>Arts and humanities</t>
        </is>
      </c>
      <c r="C821" s="9" t="n">
        <v>2.43</v>
      </c>
      <c r="D821" t="n">
        <v>9</v>
      </c>
      <c r="E821" t="n">
        <v>0</v>
      </c>
      <c r="F821" t="n">
        <v>1</v>
      </c>
      <c r="G821" s="10" t="n">
        <v>2220</v>
      </c>
      <c r="H821" t="n">
        <v>1</v>
      </c>
      <c r="I821" s="11">
        <f>C821-CGPA_Mean</f>
        <v/>
      </c>
      <c r="J821">
        <f>D821</f>
        <v/>
      </c>
      <c r="K821">
        <f>E821</f>
        <v/>
      </c>
      <c r="L821">
        <f>F821</f>
        <v/>
      </c>
      <c r="M821" s="11">
        <f>I821*K821</f>
        <v/>
      </c>
      <c r="N821" s="12">
        <f>LN(G821)</f>
        <v/>
      </c>
      <c r="O821" s="12">
        <f>H821*Beta_0+I821*Beta_1+J821*Beta_2+K821*Beta_3+L821*Beta_4+M821*Beta_5</f>
        <v/>
      </c>
      <c r="P821" s="12">
        <f>N821-O821</f>
        <v/>
      </c>
      <c r="Q821" s="13">
        <f>EXP(O821)*Smearing_Factor</f>
        <v/>
      </c>
    </row>
    <row r="822">
      <c r="A822" t="n">
        <v>821</v>
      </c>
      <c r="B822" t="inlineStr">
        <is>
          <t>Health and welfare</t>
        </is>
      </c>
      <c r="C822" s="9" t="n">
        <v>2.98</v>
      </c>
      <c r="D822" t="n">
        <v>3</v>
      </c>
      <c r="E822" t="n">
        <v>0</v>
      </c>
      <c r="F822" t="n">
        <v>1</v>
      </c>
      <c r="G822" s="10" t="n">
        <v>960</v>
      </c>
      <c r="H822" t="n">
        <v>1</v>
      </c>
      <c r="I822" s="11">
        <f>C822-CGPA_Mean</f>
        <v/>
      </c>
      <c r="J822">
        <f>D822</f>
        <v/>
      </c>
      <c r="K822">
        <f>E822</f>
        <v/>
      </c>
      <c r="L822">
        <f>F822</f>
        <v/>
      </c>
      <c r="M822" s="11">
        <f>I822*K822</f>
        <v/>
      </c>
      <c r="N822" s="12">
        <f>LN(G822)</f>
        <v/>
      </c>
      <c r="O822" s="12">
        <f>H822*Beta_0+I822*Beta_1+J822*Beta_2+K822*Beta_3+L822*Beta_4+M822*Beta_5</f>
        <v/>
      </c>
      <c r="P822" s="12">
        <f>N822-O822</f>
        <v/>
      </c>
      <c r="Q822" s="13">
        <f>EXP(O822)*Smearing_Factor</f>
        <v/>
      </c>
    </row>
    <row r="823">
      <c r="A823" t="n">
        <v>822</v>
      </c>
      <c r="B823" t="inlineStr">
        <is>
          <t>Business, administration and law</t>
        </is>
      </c>
      <c r="C823" s="9" t="n">
        <v>3.15</v>
      </c>
      <c r="D823" t="n">
        <v>3</v>
      </c>
      <c r="E823" t="n">
        <v>0</v>
      </c>
      <c r="F823" t="n">
        <v>0</v>
      </c>
      <c r="G823" s="10" t="n">
        <v>2390</v>
      </c>
      <c r="H823" t="n">
        <v>1</v>
      </c>
      <c r="I823" s="11">
        <f>C823-CGPA_Mean</f>
        <v/>
      </c>
      <c r="J823">
        <f>D823</f>
        <v/>
      </c>
      <c r="K823">
        <f>E823</f>
        <v/>
      </c>
      <c r="L823">
        <f>F823</f>
        <v/>
      </c>
      <c r="M823" s="11">
        <f>I823*K823</f>
        <v/>
      </c>
      <c r="N823" s="12">
        <f>LN(G823)</f>
        <v/>
      </c>
      <c r="O823" s="12">
        <f>H823*Beta_0+I823*Beta_1+J823*Beta_2+K823*Beta_3+L823*Beta_4+M823*Beta_5</f>
        <v/>
      </c>
      <c r="P823" s="12">
        <f>N823-O823</f>
        <v/>
      </c>
      <c r="Q823" s="13">
        <f>EXP(O823)*Smearing_Factor</f>
        <v/>
      </c>
    </row>
    <row r="824">
      <c r="A824" t="n">
        <v>823</v>
      </c>
      <c r="B824" t="inlineStr">
        <is>
          <t>Natural sciences, mathematics and statistics</t>
        </is>
      </c>
      <c r="C824" s="9" t="n">
        <v>3.28</v>
      </c>
      <c r="D824" t="n">
        <v>6</v>
      </c>
      <c r="E824" t="n">
        <v>1</v>
      </c>
      <c r="F824" t="n">
        <v>0</v>
      </c>
      <c r="G824" s="10" t="n">
        <v>1930</v>
      </c>
      <c r="H824" t="n">
        <v>1</v>
      </c>
      <c r="I824" s="11">
        <f>C824-CGPA_Mean</f>
        <v/>
      </c>
      <c r="J824">
        <f>D824</f>
        <v/>
      </c>
      <c r="K824">
        <f>E824</f>
        <v/>
      </c>
      <c r="L824">
        <f>F824</f>
        <v/>
      </c>
      <c r="M824" s="11">
        <f>I824*K824</f>
        <v/>
      </c>
      <c r="N824" s="12">
        <f>LN(G824)</f>
        <v/>
      </c>
      <c r="O824" s="12">
        <f>H824*Beta_0+I824*Beta_1+J824*Beta_2+K824*Beta_3+L824*Beta_4+M824*Beta_5</f>
        <v/>
      </c>
      <c r="P824" s="12">
        <f>N824-O824</f>
        <v/>
      </c>
      <c r="Q824" s="13">
        <f>EXP(O824)*Smearing_Factor</f>
        <v/>
      </c>
    </row>
    <row r="825">
      <c r="A825" t="n">
        <v>824</v>
      </c>
      <c r="B825" t="inlineStr">
        <is>
          <t>Education</t>
        </is>
      </c>
      <c r="C825" s="9" t="n">
        <v>2.87</v>
      </c>
      <c r="D825" t="n">
        <v>6</v>
      </c>
      <c r="E825" t="n">
        <v>0</v>
      </c>
      <c r="F825" t="n">
        <v>0</v>
      </c>
      <c r="G825" s="10" t="n">
        <v>1010</v>
      </c>
      <c r="H825" t="n">
        <v>1</v>
      </c>
      <c r="I825" s="11">
        <f>C825-CGPA_Mean</f>
        <v/>
      </c>
      <c r="J825">
        <f>D825</f>
        <v/>
      </c>
      <c r="K825">
        <f>E825</f>
        <v/>
      </c>
      <c r="L825">
        <f>F825</f>
        <v/>
      </c>
      <c r="M825" s="11">
        <f>I825*K825</f>
        <v/>
      </c>
      <c r="N825" s="12">
        <f>LN(G825)</f>
        <v/>
      </c>
      <c r="O825" s="12">
        <f>H825*Beta_0+I825*Beta_1+J825*Beta_2+K825*Beta_3+L825*Beta_4+M825*Beta_5</f>
        <v/>
      </c>
      <c r="P825" s="12">
        <f>N825-O825</f>
        <v/>
      </c>
      <c r="Q825" s="13">
        <f>EXP(O825)*Smearing_Factor</f>
        <v/>
      </c>
    </row>
    <row r="826">
      <c r="A826" t="n">
        <v>825</v>
      </c>
      <c r="B826" t="inlineStr">
        <is>
          <t>Engineering, manufacturing and construction</t>
        </is>
      </c>
      <c r="C826" s="9" t="n">
        <v>3.51</v>
      </c>
      <c r="D826" t="n">
        <v>6</v>
      </c>
      <c r="E826" t="n">
        <v>1</v>
      </c>
      <c r="F826" t="n">
        <v>1</v>
      </c>
      <c r="G826" s="10" t="n">
        <v>3300</v>
      </c>
      <c r="H826" t="n">
        <v>1</v>
      </c>
      <c r="I826" s="11">
        <f>C826-CGPA_Mean</f>
        <v/>
      </c>
      <c r="J826">
        <f>D826</f>
        <v/>
      </c>
      <c r="K826">
        <f>E826</f>
        <v/>
      </c>
      <c r="L826">
        <f>F826</f>
        <v/>
      </c>
      <c r="M826" s="11">
        <f>I826*K826</f>
        <v/>
      </c>
      <c r="N826" s="12">
        <f>LN(G826)</f>
        <v/>
      </c>
      <c r="O826" s="12">
        <f>H826*Beta_0+I826*Beta_1+J826*Beta_2+K826*Beta_3+L826*Beta_4+M826*Beta_5</f>
        <v/>
      </c>
      <c r="P826" s="12">
        <f>N826-O826</f>
        <v/>
      </c>
      <c r="Q826" s="13">
        <f>EXP(O826)*Smearing_Factor</f>
        <v/>
      </c>
    </row>
    <row r="827">
      <c r="A827" t="n">
        <v>826</v>
      </c>
      <c r="B827" t="inlineStr">
        <is>
          <t>Health and welfare</t>
        </is>
      </c>
      <c r="C827" s="9" t="n">
        <v>3.25</v>
      </c>
      <c r="D827" t="n">
        <v>3</v>
      </c>
      <c r="E827" t="n">
        <v>0</v>
      </c>
      <c r="F827" t="n">
        <v>1</v>
      </c>
      <c r="G827" s="10" t="n">
        <v>1830</v>
      </c>
      <c r="H827" t="n">
        <v>1</v>
      </c>
      <c r="I827" s="11">
        <f>C827-CGPA_Mean</f>
        <v/>
      </c>
      <c r="J827">
        <f>D827</f>
        <v/>
      </c>
      <c r="K827">
        <f>E827</f>
        <v/>
      </c>
      <c r="L827">
        <f>F827</f>
        <v/>
      </c>
      <c r="M827" s="11">
        <f>I827*K827</f>
        <v/>
      </c>
      <c r="N827" s="12">
        <f>LN(G827)</f>
        <v/>
      </c>
      <c r="O827" s="12">
        <f>H827*Beta_0+I827*Beta_1+J827*Beta_2+K827*Beta_3+L827*Beta_4+M827*Beta_5</f>
        <v/>
      </c>
      <c r="P827" s="12">
        <f>N827-O827</f>
        <v/>
      </c>
      <c r="Q827" s="13">
        <f>EXP(O827)*Smearing_Factor</f>
        <v/>
      </c>
    </row>
    <row r="828">
      <c r="A828" t="n">
        <v>827</v>
      </c>
      <c r="B828" t="inlineStr">
        <is>
          <t>Business, administration and law</t>
        </is>
      </c>
      <c r="C828" s="9" t="n">
        <v>3.06</v>
      </c>
      <c r="D828" t="n">
        <v>3</v>
      </c>
      <c r="E828" t="n">
        <v>0</v>
      </c>
      <c r="F828" t="n">
        <v>1</v>
      </c>
      <c r="G828" s="10" t="n">
        <v>1760</v>
      </c>
      <c r="H828" t="n">
        <v>1</v>
      </c>
      <c r="I828" s="11">
        <f>C828-CGPA_Mean</f>
        <v/>
      </c>
      <c r="J828">
        <f>D828</f>
        <v/>
      </c>
      <c r="K828">
        <f>E828</f>
        <v/>
      </c>
      <c r="L828">
        <f>F828</f>
        <v/>
      </c>
      <c r="M828" s="11">
        <f>I828*K828</f>
        <v/>
      </c>
      <c r="N828" s="12">
        <f>LN(G828)</f>
        <v/>
      </c>
      <c r="O828" s="12">
        <f>H828*Beta_0+I828*Beta_1+J828*Beta_2+K828*Beta_3+L828*Beta_4+M828*Beta_5</f>
        <v/>
      </c>
      <c r="P828" s="12">
        <f>N828-O828</f>
        <v/>
      </c>
      <c r="Q828" s="13">
        <f>EXP(O828)*Smearing_Factor</f>
        <v/>
      </c>
    </row>
    <row r="829">
      <c r="A829" t="n">
        <v>828</v>
      </c>
      <c r="B829" t="inlineStr">
        <is>
          <t>Engineering, manufacturing and construction</t>
        </is>
      </c>
      <c r="C829" s="9" t="n">
        <v>3.61</v>
      </c>
      <c r="D829" t="n">
        <v>6</v>
      </c>
      <c r="E829" t="n">
        <v>1</v>
      </c>
      <c r="F829" t="n">
        <v>0</v>
      </c>
      <c r="G829" s="10" t="n">
        <v>3170</v>
      </c>
      <c r="H829" t="n">
        <v>1</v>
      </c>
      <c r="I829" s="11">
        <f>C829-CGPA_Mean</f>
        <v/>
      </c>
      <c r="J829">
        <f>D829</f>
        <v/>
      </c>
      <c r="K829">
        <f>E829</f>
        <v/>
      </c>
      <c r="L829">
        <f>F829</f>
        <v/>
      </c>
      <c r="M829" s="11">
        <f>I829*K829</f>
        <v/>
      </c>
      <c r="N829" s="12">
        <f>LN(G829)</f>
        <v/>
      </c>
      <c r="O829" s="12">
        <f>H829*Beta_0+I829*Beta_1+J829*Beta_2+K829*Beta_3+L829*Beta_4+M829*Beta_5</f>
        <v/>
      </c>
      <c r="P829" s="12">
        <f>N829-O829</f>
        <v/>
      </c>
      <c r="Q829" s="13">
        <f>EXP(O829)*Smearing_Factor</f>
        <v/>
      </c>
    </row>
    <row r="830">
      <c r="A830" t="n">
        <v>829</v>
      </c>
      <c r="B830" t="inlineStr">
        <is>
          <t>Business, administration and law</t>
        </is>
      </c>
      <c r="C830" s="9" t="n">
        <v>2.93</v>
      </c>
      <c r="D830" t="n">
        <v>6</v>
      </c>
      <c r="E830" t="n">
        <v>0</v>
      </c>
      <c r="F830" t="n">
        <v>1</v>
      </c>
      <c r="G830" s="10" t="n">
        <v>2280</v>
      </c>
      <c r="H830" t="n">
        <v>1</v>
      </c>
      <c r="I830" s="11">
        <f>C830-CGPA_Mean</f>
        <v/>
      </c>
      <c r="J830">
        <f>D830</f>
        <v/>
      </c>
      <c r="K830">
        <f>E830</f>
        <v/>
      </c>
      <c r="L830">
        <f>F830</f>
        <v/>
      </c>
      <c r="M830" s="11">
        <f>I830*K830</f>
        <v/>
      </c>
      <c r="N830" s="12">
        <f>LN(G830)</f>
        <v/>
      </c>
      <c r="O830" s="12">
        <f>H830*Beta_0+I830*Beta_1+J830*Beta_2+K830*Beta_3+L830*Beta_4+M830*Beta_5</f>
        <v/>
      </c>
      <c r="P830" s="12">
        <f>N830-O830</f>
        <v/>
      </c>
      <c r="Q830" s="13">
        <f>EXP(O830)*Smearing_Factor</f>
        <v/>
      </c>
    </row>
    <row r="831">
      <c r="A831" t="n">
        <v>830</v>
      </c>
      <c r="B831" t="inlineStr">
        <is>
          <t>Arts and humanities</t>
        </is>
      </c>
      <c r="C831" s="9" t="n">
        <v>3.62</v>
      </c>
      <c r="D831" t="n">
        <v>6</v>
      </c>
      <c r="E831" t="n">
        <v>0</v>
      </c>
      <c r="F831" t="n">
        <v>0</v>
      </c>
      <c r="G831" s="10" t="n">
        <v>2000</v>
      </c>
      <c r="H831" t="n">
        <v>1</v>
      </c>
      <c r="I831" s="11">
        <f>C831-CGPA_Mean</f>
        <v/>
      </c>
      <c r="J831">
        <f>D831</f>
        <v/>
      </c>
      <c r="K831">
        <f>E831</f>
        <v/>
      </c>
      <c r="L831">
        <f>F831</f>
        <v/>
      </c>
      <c r="M831" s="11">
        <f>I831*K831</f>
        <v/>
      </c>
      <c r="N831" s="12">
        <f>LN(G831)</f>
        <v/>
      </c>
      <c r="O831" s="12">
        <f>H831*Beta_0+I831*Beta_1+J831*Beta_2+K831*Beta_3+L831*Beta_4+M831*Beta_5</f>
        <v/>
      </c>
      <c r="P831" s="12">
        <f>N831-O831</f>
        <v/>
      </c>
      <c r="Q831" s="13">
        <f>EXP(O831)*Smearing_Factor</f>
        <v/>
      </c>
    </row>
    <row r="832">
      <c r="A832" t="n">
        <v>831</v>
      </c>
      <c r="B832" t="inlineStr">
        <is>
          <t>Business, administration and law</t>
        </is>
      </c>
      <c r="C832" s="9" t="n">
        <v>3.12</v>
      </c>
      <c r="D832" t="n">
        <v>3</v>
      </c>
      <c r="E832" t="n">
        <v>0</v>
      </c>
      <c r="F832" t="n">
        <v>1</v>
      </c>
      <c r="G832" s="10" t="n">
        <v>3660</v>
      </c>
      <c r="H832" t="n">
        <v>1</v>
      </c>
      <c r="I832" s="11">
        <f>C832-CGPA_Mean</f>
        <v/>
      </c>
      <c r="J832">
        <f>D832</f>
        <v/>
      </c>
      <c r="K832">
        <f>E832</f>
        <v/>
      </c>
      <c r="L832">
        <f>F832</f>
        <v/>
      </c>
      <c r="M832" s="11">
        <f>I832*K832</f>
        <v/>
      </c>
      <c r="N832" s="12">
        <f>LN(G832)</f>
        <v/>
      </c>
      <c r="O832" s="12">
        <f>H832*Beta_0+I832*Beta_1+J832*Beta_2+K832*Beta_3+L832*Beta_4+M832*Beta_5</f>
        <v/>
      </c>
      <c r="P832" s="12">
        <f>N832-O832</f>
        <v/>
      </c>
      <c r="Q832" s="13">
        <f>EXP(O832)*Smearing_Factor</f>
        <v/>
      </c>
    </row>
    <row r="833">
      <c r="A833" t="n">
        <v>832</v>
      </c>
      <c r="B833" t="inlineStr">
        <is>
          <t>Engineering, manufacturing and construction</t>
        </is>
      </c>
      <c r="C833" s="9" t="n">
        <v>3.28</v>
      </c>
      <c r="D833" t="n">
        <v>6</v>
      </c>
      <c r="E833" t="n">
        <v>1</v>
      </c>
      <c r="F833" t="n">
        <v>1</v>
      </c>
      <c r="G833" s="10" t="n">
        <v>7080</v>
      </c>
      <c r="H833" t="n">
        <v>1</v>
      </c>
      <c r="I833" s="11">
        <f>C833-CGPA_Mean</f>
        <v/>
      </c>
      <c r="J833">
        <f>D833</f>
        <v/>
      </c>
      <c r="K833">
        <f>E833</f>
        <v/>
      </c>
      <c r="L833">
        <f>F833</f>
        <v/>
      </c>
      <c r="M833" s="11">
        <f>I833*K833</f>
        <v/>
      </c>
      <c r="N833" s="12">
        <f>LN(G833)</f>
        <v/>
      </c>
      <c r="O833" s="12">
        <f>H833*Beta_0+I833*Beta_1+J833*Beta_2+K833*Beta_3+L833*Beta_4+M833*Beta_5</f>
        <v/>
      </c>
      <c r="P833" s="12">
        <f>N833-O833</f>
        <v/>
      </c>
      <c r="Q833" s="13">
        <f>EXP(O833)*Smearing_Factor</f>
        <v/>
      </c>
    </row>
    <row r="834">
      <c r="A834" t="n">
        <v>833</v>
      </c>
      <c r="B834" t="inlineStr">
        <is>
          <t>Natural sciences, mathematics and statistics</t>
        </is>
      </c>
      <c r="C834" s="9" t="n">
        <v>3.06</v>
      </c>
      <c r="D834" t="n">
        <v>6</v>
      </c>
      <c r="E834" t="n">
        <v>1</v>
      </c>
      <c r="F834" t="n">
        <v>0</v>
      </c>
      <c r="G834" s="10" t="n">
        <v>1720</v>
      </c>
      <c r="H834" t="n">
        <v>1</v>
      </c>
      <c r="I834" s="11">
        <f>C834-CGPA_Mean</f>
        <v/>
      </c>
      <c r="J834">
        <f>D834</f>
        <v/>
      </c>
      <c r="K834">
        <f>E834</f>
        <v/>
      </c>
      <c r="L834">
        <f>F834</f>
        <v/>
      </c>
      <c r="M834" s="11">
        <f>I834*K834</f>
        <v/>
      </c>
      <c r="N834" s="12">
        <f>LN(G834)</f>
        <v/>
      </c>
      <c r="O834" s="12">
        <f>H834*Beta_0+I834*Beta_1+J834*Beta_2+K834*Beta_3+L834*Beta_4+M834*Beta_5</f>
        <v/>
      </c>
      <c r="P834" s="12">
        <f>N834-O834</f>
        <v/>
      </c>
      <c r="Q834" s="13">
        <f>EXP(O834)*Smearing_Factor</f>
        <v/>
      </c>
    </row>
    <row r="835">
      <c r="A835" t="n">
        <v>834</v>
      </c>
      <c r="B835" t="inlineStr">
        <is>
          <t>Engineering, manufacturing and construction</t>
        </is>
      </c>
      <c r="C835" s="9" t="n">
        <v>3.45</v>
      </c>
      <c r="D835" t="n">
        <v>3</v>
      </c>
      <c r="E835" t="n">
        <v>1</v>
      </c>
      <c r="F835" t="n">
        <v>0</v>
      </c>
      <c r="G835" s="10" t="n">
        <v>2690</v>
      </c>
      <c r="H835" t="n">
        <v>1</v>
      </c>
      <c r="I835" s="11">
        <f>C835-CGPA_Mean</f>
        <v/>
      </c>
      <c r="J835">
        <f>D835</f>
        <v/>
      </c>
      <c r="K835">
        <f>E835</f>
        <v/>
      </c>
      <c r="L835">
        <f>F835</f>
        <v/>
      </c>
      <c r="M835" s="11">
        <f>I835*K835</f>
        <v/>
      </c>
      <c r="N835" s="12">
        <f>LN(G835)</f>
        <v/>
      </c>
      <c r="O835" s="12">
        <f>H835*Beta_0+I835*Beta_1+J835*Beta_2+K835*Beta_3+L835*Beta_4+M835*Beta_5</f>
        <v/>
      </c>
      <c r="P835" s="12">
        <f>N835-O835</f>
        <v/>
      </c>
      <c r="Q835" s="13">
        <f>EXP(O835)*Smearing_Factor</f>
        <v/>
      </c>
    </row>
    <row r="836">
      <c r="A836" t="n">
        <v>835</v>
      </c>
      <c r="B836" t="inlineStr">
        <is>
          <t>Engineering, manufacturing and construction</t>
        </is>
      </c>
      <c r="C836" s="9" t="n">
        <v>3.83</v>
      </c>
      <c r="D836" t="n">
        <v>6</v>
      </c>
      <c r="E836" t="n">
        <v>1</v>
      </c>
      <c r="F836" t="n">
        <v>1</v>
      </c>
      <c r="G836" s="10" t="n">
        <v>3200</v>
      </c>
      <c r="H836" t="n">
        <v>1</v>
      </c>
      <c r="I836" s="11">
        <f>C836-CGPA_Mean</f>
        <v/>
      </c>
      <c r="J836">
        <f>D836</f>
        <v/>
      </c>
      <c r="K836">
        <f>E836</f>
        <v/>
      </c>
      <c r="L836">
        <f>F836</f>
        <v/>
      </c>
      <c r="M836" s="11">
        <f>I836*K836</f>
        <v/>
      </c>
      <c r="N836" s="12">
        <f>LN(G836)</f>
        <v/>
      </c>
      <c r="O836" s="12">
        <f>H836*Beta_0+I836*Beta_1+J836*Beta_2+K836*Beta_3+L836*Beta_4+M836*Beta_5</f>
        <v/>
      </c>
      <c r="P836" s="12">
        <f>N836-O836</f>
        <v/>
      </c>
      <c r="Q836" s="13">
        <f>EXP(O836)*Smearing_Factor</f>
        <v/>
      </c>
    </row>
    <row r="837">
      <c r="A837" t="n">
        <v>836</v>
      </c>
      <c r="B837" t="inlineStr">
        <is>
          <t>Business, administration and law</t>
        </is>
      </c>
      <c r="C837" s="9" t="n">
        <v>3.81</v>
      </c>
      <c r="D837" t="n">
        <v>6</v>
      </c>
      <c r="E837" t="n">
        <v>0</v>
      </c>
      <c r="F837" t="n">
        <v>0</v>
      </c>
      <c r="G837" s="10" t="n">
        <v>2290</v>
      </c>
      <c r="H837" t="n">
        <v>1</v>
      </c>
      <c r="I837" s="11">
        <f>C837-CGPA_Mean</f>
        <v/>
      </c>
      <c r="J837">
        <f>D837</f>
        <v/>
      </c>
      <c r="K837">
        <f>E837</f>
        <v/>
      </c>
      <c r="L837">
        <f>F837</f>
        <v/>
      </c>
      <c r="M837" s="11">
        <f>I837*K837</f>
        <v/>
      </c>
      <c r="N837" s="12">
        <f>LN(G837)</f>
        <v/>
      </c>
      <c r="O837" s="12">
        <f>H837*Beta_0+I837*Beta_1+J837*Beta_2+K837*Beta_3+L837*Beta_4+M837*Beta_5</f>
        <v/>
      </c>
      <c r="P837" s="12">
        <f>N837-O837</f>
        <v/>
      </c>
      <c r="Q837" s="13">
        <f>EXP(O837)*Smearing_Factor</f>
        <v/>
      </c>
    </row>
    <row r="838">
      <c r="A838" t="n">
        <v>837</v>
      </c>
      <c r="B838" t="inlineStr">
        <is>
          <t>Social sciences, journalism and information</t>
        </is>
      </c>
      <c r="C838" s="9" t="n">
        <v>3.06</v>
      </c>
      <c r="D838" t="n">
        <v>6</v>
      </c>
      <c r="E838" t="n">
        <v>0</v>
      </c>
      <c r="F838" t="n">
        <v>0</v>
      </c>
      <c r="G838" s="10" t="n">
        <v>1220</v>
      </c>
      <c r="H838" t="n">
        <v>1</v>
      </c>
      <c r="I838" s="11">
        <f>C838-CGPA_Mean</f>
        <v/>
      </c>
      <c r="J838">
        <f>D838</f>
        <v/>
      </c>
      <c r="K838">
        <f>E838</f>
        <v/>
      </c>
      <c r="L838">
        <f>F838</f>
        <v/>
      </c>
      <c r="M838" s="11">
        <f>I838*K838</f>
        <v/>
      </c>
      <c r="N838" s="12">
        <f>LN(G838)</f>
        <v/>
      </c>
      <c r="O838" s="12">
        <f>H838*Beta_0+I838*Beta_1+J838*Beta_2+K838*Beta_3+L838*Beta_4+M838*Beta_5</f>
        <v/>
      </c>
      <c r="P838" s="12">
        <f>N838-O838</f>
        <v/>
      </c>
      <c r="Q838" s="13">
        <f>EXP(O838)*Smearing_Factor</f>
        <v/>
      </c>
    </row>
    <row r="839">
      <c r="A839" t="n">
        <v>838</v>
      </c>
      <c r="B839" t="inlineStr">
        <is>
          <t>Business, administration and law</t>
        </is>
      </c>
      <c r="C839" s="9" t="n">
        <v>3.67</v>
      </c>
      <c r="D839" t="n">
        <v>3</v>
      </c>
      <c r="E839" t="n">
        <v>0</v>
      </c>
      <c r="F839" t="n">
        <v>0</v>
      </c>
      <c r="G839" s="10" t="n">
        <v>3750</v>
      </c>
      <c r="H839" t="n">
        <v>1</v>
      </c>
      <c r="I839" s="11">
        <f>C839-CGPA_Mean</f>
        <v/>
      </c>
      <c r="J839">
        <f>D839</f>
        <v/>
      </c>
      <c r="K839">
        <f>E839</f>
        <v/>
      </c>
      <c r="L839">
        <f>F839</f>
        <v/>
      </c>
      <c r="M839" s="11">
        <f>I839*K839</f>
        <v/>
      </c>
      <c r="N839" s="12">
        <f>LN(G839)</f>
        <v/>
      </c>
      <c r="O839" s="12">
        <f>H839*Beta_0+I839*Beta_1+J839*Beta_2+K839*Beta_3+L839*Beta_4+M839*Beta_5</f>
        <v/>
      </c>
      <c r="P839" s="12">
        <f>N839-O839</f>
        <v/>
      </c>
      <c r="Q839" s="13">
        <f>EXP(O839)*Smearing_Factor</f>
        <v/>
      </c>
    </row>
    <row r="840">
      <c r="A840" t="n">
        <v>839</v>
      </c>
      <c r="B840" t="inlineStr">
        <is>
          <t>Natural sciences, mathematics and statistics</t>
        </is>
      </c>
      <c r="C840" s="9" t="n">
        <v>3.39</v>
      </c>
      <c r="D840" t="n">
        <v>3</v>
      </c>
      <c r="E840" t="n">
        <v>1</v>
      </c>
      <c r="F840" t="n">
        <v>1</v>
      </c>
      <c r="G840" s="10" t="n">
        <v>2370</v>
      </c>
      <c r="H840" t="n">
        <v>1</v>
      </c>
      <c r="I840" s="11">
        <f>C840-CGPA_Mean</f>
        <v/>
      </c>
      <c r="J840">
        <f>D840</f>
        <v/>
      </c>
      <c r="K840">
        <f>E840</f>
        <v/>
      </c>
      <c r="L840">
        <f>F840</f>
        <v/>
      </c>
      <c r="M840" s="11">
        <f>I840*K840</f>
        <v/>
      </c>
      <c r="N840" s="12">
        <f>LN(G840)</f>
        <v/>
      </c>
      <c r="O840" s="12">
        <f>H840*Beta_0+I840*Beta_1+J840*Beta_2+K840*Beta_3+L840*Beta_4+M840*Beta_5</f>
        <v/>
      </c>
      <c r="P840" s="12">
        <f>N840-O840</f>
        <v/>
      </c>
      <c r="Q840" s="13">
        <f>EXP(O840)*Smearing_Factor</f>
        <v/>
      </c>
    </row>
    <row r="841">
      <c r="A841" t="n">
        <v>840</v>
      </c>
      <c r="B841" t="inlineStr">
        <is>
          <t>Engineering, manufacturing and construction</t>
        </is>
      </c>
      <c r="C841" s="9" t="n">
        <v>3.7</v>
      </c>
      <c r="D841" t="n">
        <v>6</v>
      </c>
      <c r="E841" t="n">
        <v>1</v>
      </c>
      <c r="F841" t="n">
        <v>0</v>
      </c>
      <c r="G841" s="10" t="n">
        <v>3090</v>
      </c>
      <c r="H841" t="n">
        <v>1</v>
      </c>
      <c r="I841" s="11">
        <f>C841-CGPA_Mean</f>
        <v/>
      </c>
      <c r="J841">
        <f>D841</f>
        <v/>
      </c>
      <c r="K841">
        <f>E841</f>
        <v/>
      </c>
      <c r="L841">
        <f>F841</f>
        <v/>
      </c>
      <c r="M841" s="11">
        <f>I841*K841</f>
        <v/>
      </c>
      <c r="N841" s="12">
        <f>LN(G841)</f>
        <v/>
      </c>
      <c r="O841" s="12">
        <f>H841*Beta_0+I841*Beta_1+J841*Beta_2+K841*Beta_3+L841*Beta_4+M841*Beta_5</f>
        <v/>
      </c>
      <c r="P841" s="12">
        <f>N841-O841</f>
        <v/>
      </c>
      <c r="Q841" s="13">
        <f>EXP(O841)*Smearing_Factor</f>
        <v/>
      </c>
    </row>
    <row r="842">
      <c r="A842" t="n">
        <v>841</v>
      </c>
      <c r="B842" t="inlineStr">
        <is>
          <t>Health and welfare</t>
        </is>
      </c>
      <c r="C842" s="9" t="n">
        <v>3.19</v>
      </c>
      <c r="D842" t="n">
        <v>6</v>
      </c>
      <c r="E842" t="n">
        <v>0</v>
      </c>
      <c r="F842" t="n">
        <v>1</v>
      </c>
      <c r="G842" s="10" t="n">
        <v>2110</v>
      </c>
      <c r="H842" t="n">
        <v>1</v>
      </c>
      <c r="I842" s="11">
        <f>C842-CGPA_Mean</f>
        <v/>
      </c>
      <c r="J842">
        <f>D842</f>
        <v/>
      </c>
      <c r="K842">
        <f>E842</f>
        <v/>
      </c>
      <c r="L842">
        <f>F842</f>
        <v/>
      </c>
      <c r="M842" s="11">
        <f>I842*K842</f>
        <v/>
      </c>
      <c r="N842" s="12">
        <f>LN(G842)</f>
        <v/>
      </c>
      <c r="O842" s="12">
        <f>H842*Beta_0+I842*Beta_1+J842*Beta_2+K842*Beta_3+L842*Beta_4+M842*Beta_5</f>
        <v/>
      </c>
      <c r="P842" s="12">
        <f>N842-O842</f>
        <v/>
      </c>
      <c r="Q842" s="13">
        <f>EXP(O842)*Smearing_Factor</f>
        <v/>
      </c>
    </row>
    <row r="843">
      <c r="A843" t="n">
        <v>842</v>
      </c>
      <c r="B843" t="inlineStr">
        <is>
          <t>Information and communication technologies</t>
        </is>
      </c>
      <c r="C843" s="9" t="n">
        <v>3.51</v>
      </c>
      <c r="D843" t="n">
        <v>6</v>
      </c>
      <c r="E843" t="n">
        <v>1</v>
      </c>
      <c r="F843" t="n">
        <v>0</v>
      </c>
      <c r="G843" s="10" t="n">
        <v>2030</v>
      </c>
      <c r="H843" t="n">
        <v>1</v>
      </c>
      <c r="I843" s="11">
        <f>C843-CGPA_Mean</f>
        <v/>
      </c>
      <c r="J843">
        <f>D843</f>
        <v/>
      </c>
      <c r="K843">
        <f>E843</f>
        <v/>
      </c>
      <c r="L843">
        <f>F843</f>
        <v/>
      </c>
      <c r="M843" s="11">
        <f>I843*K843</f>
        <v/>
      </c>
      <c r="N843" s="12">
        <f>LN(G843)</f>
        <v/>
      </c>
      <c r="O843" s="12">
        <f>H843*Beta_0+I843*Beta_1+J843*Beta_2+K843*Beta_3+L843*Beta_4+M843*Beta_5</f>
        <v/>
      </c>
      <c r="P843" s="12">
        <f>N843-O843</f>
        <v/>
      </c>
      <c r="Q843" s="13">
        <f>EXP(O843)*Smearing_Factor</f>
        <v/>
      </c>
    </row>
    <row r="844">
      <c r="A844" t="n">
        <v>843</v>
      </c>
      <c r="B844" t="inlineStr">
        <is>
          <t>Information and communication technologies</t>
        </is>
      </c>
      <c r="C844" s="9" t="n">
        <v>3.65</v>
      </c>
      <c r="D844" t="n">
        <v>6</v>
      </c>
      <c r="E844" t="n">
        <v>1</v>
      </c>
      <c r="F844" t="n">
        <v>0</v>
      </c>
      <c r="G844" s="10" t="n">
        <v>3710</v>
      </c>
      <c r="H844" t="n">
        <v>1</v>
      </c>
      <c r="I844" s="11">
        <f>C844-CGPA_Mean</f>
        <v/>
      </c>
      <c r="J844">
        <f>D844</f>
        <v/>
      </c>
      <c r="K844">
        <f>E844</f>
        <v/>
      </c>
      <c r="L844">
        <f>F844</f>
        <v/>
      </c>
      <c r="M844" s="11">
        <f>I844*K844</f>
        <v/>
      </c>
      <c r="N844" s="12">
        <f>LN(G844)</f>
        <v/>
      </c>
      <c r="O844" s="12">
        <f>H844*Beta_0+I844*Beta_1+J844*Beta_2+K844*Beta_3+L844*Beta_4+M844*Beta_5</f>
        <v/>
      </c>
      <c r="P844" s="12">
        <f>N844-O844</f>
        <v/>
      </c>
      <c r="Q844" s="13">
        <f>EXP(O844)*Smearing_Factor</f>
        <v/>
      </c>
    </row>
    <row r="845">
      <c r="A845" t="n">
        <v>844</v>
      </c>
      <c r="B845" t="inlineStr">
        <is>
          <t>Arts and humanities</t>
        </is>
      </c>
      <c r="C845" s="9" t="n">
        <v>2.71</v>
      </c>
      <c r="D845" t="n">
        <v>3</v>
      </c>
      <c r="E845" t="n">
        <v>0</v>
      </c>
      <c r="F845" t="n">
        <v>0</v>
      </c>
      <c r="G845" s="10" t="n">
        <v>890</v>
      </c>
      <c r="H845" t="n">
        <v>1</v>
      </c>
      <c r="I845" s="11">
        <f>C845-CGPA_Mean</f>
        <v/>
      </c>
      <c r="J845">
        <f>D845</f>
        <v/>
      </c>
      <c r="K845">
        <f>E845</f>
        <v/>
      </c>
      <c r="L845">
        <f>F845</f>
        <v/>
      </c>
      <c r="M845" s="11">
        <f>I845*K845</f>
        <v/>
      </c>
      <c r="N845" s="12">
        <f>LN(G845)</f>
        <v/>
      </c>
      <c r="O845" s="12">
        <f>H845*Beta_0+I845*Beta_1+J845*Beta_2+K845*Beta_3+L845*Beta_4+M845*Beta_5</f>
        <v/>
      </c>
      <c r="P845" s="12">
        <f>N845-O845</f>
        <v/>
      </c>
      <c r="Q845" s="13">
        <f>EXP(O845)*Smearing_Factor</f>
        <v/>
      </c>
    </row>
    <row r="846">
      <c r="A846" t="n">
        <v>845</v>
      </c>
      <c r="B846" t="inlineStr">
        <is>
          <t>Social sciences, journalism and information</t>
        </is>
      </c>
      <c r="C846" s="9" t="n">
        <v>3.18</v>
      </c>
      <c r="D846" t="n">
        <v>6</v>
      </c>
      <c r="E846" t="n">
        <v>0</v>
      </c>
      <c r="F846" t="n">
        <v>0</v>
      </c>
      <c r="G846" s="10" t="n">
        <v>730</v>
      </c>
      <c r="H846" t="n">
        <v>1</v>
      </c>
      <c r="I846" s="11">
        <f>C846-CGPA_Mean</f>
        <v/>
      </c>
      <c r="J846">
        <f>D846</f>
        <v/>
      </c>
      <c r="K846">
        <f>E846</f>
        <v/>
      </c>
      <c r="L846">
        <f>F846</f>
        <v/>
      </c>
      <c r="M846" s="11">
        <f>I846*K846</f>
        <v/>
      </c>
      <c r="N846" s="12">
        <f>LN(G846)</f>
        <v/>
      </c>
      <c r="O846" s="12">
        <f>H846*Beta_0+I846*Beta_1+J846*Beta_2+K846*Beta_3+L846*Beta_4+M846*Beta_5</f>
        <v/>
      </c>
      <c r="P846" s="12">
        <f>N846-O846</f>
        <v/>
      </c>
      <c r="Q846" s="13">
        <f>EXP(O846)*Smearing_Factor</f>
        <v/>
      </c>
    </row>
    <row r="847">
      <c r="A847" t="n">
        <v>846</v>
      </c>
      <c r="B847" t="inlineStr">
        <is>
          <t>Business, administration and law</t>
        </is>
      </c>
      <c r="C847" s="9" t="n">
        <v>3.34</v>
      </c>
      <c r="D847" t="n">
        <v>6</v>
      </c>
      <c r="E847" t="n">
        <v>0</v>
      </c>
      <c r="F847" t="n">
        <v>0</v>
      </c>
      <c r="G847" s="10" t="n">
        <v>3840</v>
      </c>
      <c r="H847" t="n">
        <v>1</v>
      </c>
      <c r="I847" s="11">
        <f>C847-CGPA_Mean</f>
        <v/>
      </c>
      <c r="J847">
        <f>D847</f>
        <v/>
      </c>
      <c r="K847">
        <f>E847</f>
        <v/>
      </c>
      <c r="L847">
        <f>F847</f>
        <v/>
      </c>
      <c r="M847" s="11">
        <f>I847*K847</f>
        <v/>
      </c>
      <c r="N847" s="12">
        <f>LN(G847)</f>
        <v/>
      </c>
      <c r="O847" s="12">
        <f>H847*Beta_0+I847*Beta_1+J847*Beta_2+K847*Beta_3+L847*Beta_4+M847*Beta_5</f>
        <v/>
      </c>
      <c r="P847" s="12">
        <f>N847-O847</f>
        <v/>
      </c>
      <c r="Q847" s="13">
        <f>EXP(O847)*Smearing_Factor</f>
        <v/>
      </c>
    </row>
    <row r="848">
      <c r="A848" t="n">
        <v>847</v>
      </c>
      <c r="B848" t="inlineStr">
        <is>
          <t>Engineering, manufacturing and construction</t>
        </is>
      </c>
      <c r="C848" s="9" t="n">
        <v>3.17</v>
      </c>
      <c r="D848" t="n">
        <v>6</v>
      </c>
      <c r="E848" t="n">
        <v>1</v>
      </c>
      <c r="F848" t="n">
        <v>0</v>
      </c>
      <c r="G848" s="10" t="n">
        <v>2760</v>
      </c>
      <c r="H848" t="n">
        <v>1</v>
      </c>
      <c r="I848" s="11">
        <f>C848-CGPA_Mean</f>
        <v/>
      </c>
      <c r="J848">
        <f>D848</f>
        <v/>
      </c>
      <c r="K848">
        <f>E848</f>
        <v/>
      </c>
      <c r="L848">
        <f>F848</f>
        <v/>
      </c>
      <c r="M848" s="11">
        <f>I848*K848</f>
        <v/>
      </c>
      <c r="N848" s="12">
        <f>LN(G848)</f>
        <v/>
      </c>
      <c r="O848" s="12">
        <f>H848*Beta_0+I848*Beta_1+J848*Beta_2+K848*Beta_3+L848*Beta_4+M848*Beta_5</f>
        <v/>
      </c>
      <c r="P848" s="12">
        <f>N848-O848</f>
        <v/>
      </c>
      <c r="Q848" s="13">
        <f>EXP(O848)*Smearing_Factor</f>
        <v/>
      </c>
    </row>
    <row r="849">
      <c r="A849" t="n">
        <v>848</v>
      </c>
      <c r="B849" t="inlineStr">
        <is>
          <t>Information and communication technologies</t>
        </is>
      </c>
      <c r="C849" s="9" t="n">
        <v>2.76</v>
      </c>
      <c r="D849" t="n">
        <v>6</v>
      </c>
      <c r="E849" t="n">
        <v>1</v>
      </c>
      <c r="F849" t="n">
        <v>1</v>
      </c>
      <c r="G849" s="10" t="n">
        <v>2640</v>
      </c>
      <c r="H849" t="n">
        <v>1</v>
      </c>
      <c r="I849" s="11">
        <f>C849-CGPA_Mean</f>
        <v/>
      </c>
      <c r="J849">
        <f>D849</f>
        <v/>
      </c>
      <c r="K849">
        <f>E849</f>
        <v/>
      </c>
      <c r="L849">
        <f>F849</f>
        <v/>
      </c>
      <c r="M849" s="11">
        <f>I849*K849</f>
        <v/>
      </c>
      <c r="N849" s="12">
        <f>LN(G849)</f>
        <v/>
      </c>
      <c r="O849" s="12">
        <f>H849*Beta_0+I849*Beta_1+J849*Beta_2+K849*Beta_3+L849*Beta_4+M849*Beta_5</f>
        <v/>
      </c>
      <c r="P849" s="12">
        <f>N849-O849</f>
        <v/>
      </c>
      <c r="Q849" s="13">
        <f>EXP(O849)*Smearing_Factor</f>
        <v/>
      </c>
    </row>
    <row r="850">
      <c r="A850" t="n">
        <v>849</v>
      </c>
      <c r="B850" t="inlineStr">
        <is>
          <t>Business, administration and law</t>
        </is>
      </c>
      <c r="C850" s="9" t="n">
        <v>2.64</v>
      </c>
      <c r="D850" t="n">
        <v>3</v>
      </c>
      <c r="E850" t="n">
        <v>0</v>
      </c>
      <c r="F850" t="n">
        <v>0</v>
      </c>
      <c r="G850" s="10" t="n">
        <v>2630</v>
      </c>
      <c r="H850" t="n">
        <v>1</v>
      </c>
      <c r="I850" s="11">
        <f>C850-CGPA_Mean</f>
        <v/>
      </c>
      <c r="J850">
        <f>D850</f>
        <v/>
      </c>
      <c r="K850">
        <f>E850</f>
        <v/>
      </c>
      <c r="L850">
        <f>F850</f>
        <v/>
      </c>
      <c r="M850" s="11">
        <f>I850*K850</f>
        <v/>
      </c>
      <c r="N850" s="12">
        <f>LN(G850)</f>
        <v/>
      </c>
      <c r="O850" s="12">
        <f>H850*Beta_0+I850*Beta_1+J850*Beta_2+K850*Beta_3+L850*Beta_4+M850*Beta_5</f>
        <v/>
      </c>
      <c r="P850" s="12">
        <f>N850-O850</f>
        <v/>
      </c>
      <c r="Q850" s="13">
        <f>EXP(O850)*Smearing_Factor</f>
        <v/>
      </c>
    </row>
    <row r="851">
      <c r="A851" t="n">
        <v>850</v>
      </c>
      <c r="B851" t="inlineStr">
        <is>
          <t>Education</t>
        </is>
      </c>
      <c r="C851" s="9" t="n">
        <v>2.9</v>
      </c>
      <c r="D851" t="n">
        <v>3</v>
      </c>
      <c r="E851" t="n">
        <v>0</v>
      </c>
      <c r="F851" t="n">
        <v>0</v>
      </c>
      <c r="G851" s="10" t="n">
        <v>1820</v>
      </c>
      <c r="H851" t="n">
        <v>1</v>
      </c>
      <c r="I851" s="11">
        <f>C851-CGPA_Mean</f>
        <v/>
      </c>
      <c r="J851">
        <f>D851</f>
        <v/>
      </c>
      <c r="K851">
        <f>E851</f>
        <v/>
      </c>
      <c r="L851">
        <f>F851</f>
        <v/>
      </c>
      <c r="M851" s="11">
        <f>I851*K851</f>
        <v/>
      </c>
      <c r="N851" s="12">
        <f>LN(G851)</f>
        <v/>
      </c>
      <c r="O851" s="12">
        <f>H851*Beta_0+I851*Beta_1+J851*Beta_2+K851*Beta_3+L851*Beta_4+M851*Beta_5</f>
        <v/>
      </c>
      <c r="P851" s="12">
        <f>N851-O851</f>
        <v/>
      </c>
      <c r="Q851" s="13">
        <f>EXP(O851)*Smearing_Factor</f>
        <v/>
      </c>
    </row>
    <row r="852">
      <c r="A852" t="n">
        <v>851</v>
      </c>
      <c r="B852" t="inlineStr">
        <is>
          <t>Services</t>
        </is>
      </c>
      <c r="C852" s="9" t="n">
        <v>3.21</v>
      </c>
      <c r="D852" t="n">
        <v>6</v>
      </c>
      <c r="E852" t="n">
        <v>0</v>
      </c>
      <c r="F852" t="n">
        <v>0</v>
      </c>
      <c r="G852" s="10" t="n">
        <v>1640</v>
      </c>
      <c r="H852" t="n">
        <v>1</v>
      </c>
      <c r="I852" s="11">
        <f>C852-CGPA_Mean</f>
        <v/>
      </c>
      <c r="J852">
        <f>D852</f>
        <v/>
      </c>
      <c r="K852">
        <f>E852</f>
        <v/>
      </c>
      <c r="L852">
        <f>F852</f>
        <v/>
      </c>
      <c r="M852" s="11">
        <f>I852*K852</f>
        <v/>
      </c>
      <c r="N852" s="12">
        <f>LN(G852)</f>
        <v/>
      </c>
      <c r="O852" s="12">
        <f>H852*Beta_0+I852*Beta_1+J852*Beta_2+K852*Beta_3+L852*Beta_4+M852*Beta_5</f>
        <v/>
      </c>
      <c r="P852" s="12">
        <f>N852-O852</f>
        <v/>
      </c>
      <c r="Q852" s="13">
        <f>EXP(O852)*Smearing_Factor</f>
        <v/>
      </c>
    </row>
    <row r="853">
      <c r="A853" t="n">
        <v>852</v>
      </c>
      <c r="B853" t="inlineStr">
        <is>
          <t>Information and communication technologies</t>
        </is>
      </c>
      <c r="C853" s="9" t="n">
        <v>2.66</v>
      </c>
      <c r="D853" t="n">
        <v>6</v>
      </c>
      <c r="E853" t="n">
        <v>1</v>
      </c>
      <c r="F853" t="n">
        <v>0</v>
      </c>
      <c r="G853" s="10" t="n">
        <v>2390</v>
      </c>
      <c r="H853" t="n">
        <v>1</v>
      </c>
      <c r="I853" s="11">
        <f>C853-CGPA_Mean</f>
        <v/>
      </c>
      <c r="J853">
        <f>D853</f>
        <v/>
      </c>
      <c r="K853">
        <f>E853</f>
        <v/>
      </c>
      <c r="L853">
        <f>F853</f>
        <v/>
      </c>
      <c r="M853" s="11">
        <f>I853*K853</f>
        <v/>
      </c>
      <c r="N853" s="12">
        <f>LN(G853)</f>
        <v/>
      </c>
      <c r="O853" s="12">
        <f>H853*Beta_0+I853*Beta_1+J853*Beta_2+K853*Beta_3+L853*Beta_4+M853*Beta_5</f>
        <v/>
      </c>
      <c r="P853" s="12">
        <f>N853-O853</f>
        <v/>
      </c>
      <c r="Q853" s="13">
        <f>EXP(O853)*Smearing_Factor</f>
        <v/>
      </c>
    </row>
    <row r="854">
      <c r="A854" t="n">
        <v>853</v>
      </c>
      <c r="B854" t="inlineStr">
        <is>
          <t>Natural sciences, mathematics and statistics</t>
        </is>
      </c>
      <c r="C854" s="9" t="n">
        <v>3.26</v>
      </c>
      <c r="D854" t="n">
        <v>9</v>
      </c>
      <c r="E854" t="n">
        <v>1</v>
      </c>
      <c r="F854" t="n">
        <v>0</v>
      </c>
      <c r="G854" s="10" t="n">
        <v>2060</v>
      </c>
      <c r="H854" t="n">
        <v>1</v>
      </c>
      <c r="I854" s="11">
        <f>C854-CGPA_Mean</f>
        <v/>
      </c>
      <c r="J854">
        <f>D854</f>
        <v/>
      </c>
      <c r="K854">
        <f>E854</f>
        <v/>
      </c>
      <c r="L854">
        <f>F854</f>
        <v/>
      </c>
      <c r="M854" s="11">
        <f>I854*K854</f>
        <v/>
      </c>
      <c r="N854" s="12">
        <f>LN(G854)</f>
        <v/>
      </c>
      <c r="O854" s="12">
        <f>H854*Beta_0+I854*Beta_1+J854*Beta_2+K854*Beta_3+L854*Beta_4+M854*Beta_5</f>
        <v/>
      </c>
      <c r="P854" s="12">
        <f>N854-O854</f>
        <v/>
      </c>
      <c r="Q854" s="13">
        <f>EXP(O854)*Smearing_Factor</f>
        <v/>
      </c>
    </row>
    <row r="855">
      <c r="A855" t="n">
        <v>854</v>
      </c>
      <c r="B855" t="inlineStr">
        <is>
          <t>Arts and humanities</t>
        </is>
      </c>
      <c r="C855" s="9" t="n">
        <v>3.26</v>
      </c>
      <c r="D855" t="n">
        <v>6</v>
      </c>
      <c r="E855" t="n">
        <v>0</v>
      </c>
      <c r="F855" t="n">
        <v>0</v>
      </c>
      <c r="G855" s="10" t="n">
        <v>1950</v>
      </c>
      <c r="H855" t="n">
        <v>1</v>
      </c>
      <c r="I855" s="11">
        <f>C855-CGPA_Mean</f>
        <v/>
      </c>
      <c r="J855">
        <f>D855</f>
        <v/>
      </c>
      <c r="K855">
        <f>E855</f>
        <v/>
      </c>
      <c r="L855">
        <f>F855</f>
        <v/>
      </c>
      <c r="M855" s="11">
        <f>I855*K855</f>
        <v/>
      </c>
      <c r="N855" s="12">
        <f>LN(G855)</f>
        <v/>
      </c>
      <c r="O855" s="12">
        <f>H855*Beta_0+I855*Beta_1+J855*Beta_2+K855*Beta_3+L855*Beta_4+M855*Beta_5</f>
        <v/>
      </c>
      <c r="P855" s="12">
        <f>N855-O855</f>
        <v/>
      </c>
      <c r="Q855" s="13">
        <f>EXP(O855)*Smearing_Factor</f>
        <v/>
      </c>
    </row>
    <row r="856">
      <c r="A856" t="n">
        <v>855</v>
      </c>
      <c r="B856" t="inlineStr">
        <is>
          <t>Information and communication technologies</t>
        </is>
      </c>
      <c r="C856" s="9" t="n">
        <v>3.98</v>
      </c>
      <c r="D856" t="n">
        <v>6</v>
      </c>
      <c r="E856" t="n">
        <v>1</v>
      </c>
      <c r="F856" t="n">
        <v>0</v>
      </c>
      <c r="G856" s="10" t="n">
        <v>4970</v>
      </c>
      <c r="H856" t="n">
        <v>1</v>
      </c>
      <c r="I856" s="11">
        <f>C856-CGPA_Mean</f>
        <v/>
      </c>
      <c r="J856">
        <f>D856</f>
        <v/>
      </c>
      <c r="K856">
        <f>E856</f>
        <v/>
      </c>
      <c r="L856">
        <f>F856</f>
        <v/>
      </c>
      <c r="M856" s="11">
        <f>I856*K856</f>
        <v/>
      </c>
      <c r="N856" s="12">
        <f>LN(G856)</f>
        <v/>
      </c>
      <c r="O856" s="12">
        <f>H856*Beta_0+I856*Beta_1+J856*Beta_2+K856*Beta_3+L856*Beta_4+M856*Beta_5</f>
        <v/>
      </c>
      <c r="P856" s="12">
        <f>N856-O856</f>
        <v/>
      </c>
      <c r="Q856" s="13">
        <f>EXP(O856)*Smearing_Factor</f>
        <v/>
      </c>
    </row>
    <row r="857">
      <c r="A857" t="n">
        <v>856</v>
      </c>
      <c r="B857" t="inlineStr">
        <is>
          <t>Engineering, manufacturing and construction</t>
        </is>
      </c>
      <c r="C857" s="9" t="n">
        <v>3.3</v>
      </c>
      <c r="D857" t="n">
        <v>6</v>
      </c>
      <c r="E857" t="n">
        <v>1</v>
      </c>
      <c r="F857" t="n">
        <v>0</v>
      </c>
      <c r="G857" s="10" t="n">
        <v>2510</v>
      </c>
      <c r="H857" t="n">
        <v>1</v>
      </c>
      <c r="I857" s="11">
        <f>C857-CGPA_Mean</f>
        <v/>
      </c>
      <c r="J857">
        <f>D857</f>
        <v/>
      </c>
      <c r="K857">
        <f>E857</f>
        <v/>
      </c>
      <c r="L857">
        <f>F857</f>
        <v/>
      </c>
      <c r="M857" s="11">
        <f>I857*K857</f>
        <v/>
      </c>
      <c r="N857" s="12">
        <f>LN(G857)</f>
        <v/>
      </c>
      <c r="O857" s="12">
        <f>H857*Beta_0+I857*Beta_1+J857*Beta_2+K857*Beta_3+L857*Beta_4+M857*Beta_5</f>
        <v/>
      </c>
      <c r="P857" s="12">
        <f>N857-O857</f>
        <v/>
      </c>
      <c r="Q857" s="13">
        <f>EXP(O857)*Smearing_Factor</f>
        <v/>
      </c>
    </row>
    <row r="858">
      <c r="A858" t="n">
        <v>857</v>
      </c>
      <c r="B858" t="inlineStr">
        <is>
          <t>Business, administration and law</t>
        </is>
      </c>
      <c r="C858" s="9" t="n">
        <v>2.89</v>
      </c>
      <c r="D858" t="n">
        <v>3</v>
      </c>
      <c r="E858" t="n">
        <v>0</v>
      </c>
      <c r="F858" t="n">
        <v>0</v>
      </c>
      <c r="G858" s="10" t="n">
        <v>1790</v>
      </c>
      <c r="H858" t="n">
        <v>1</v>
      </c>
      <c r="I858" s="11">
        <f>C858-CGPA_Mean</f>
        <v/>
      </c>
      <c r="J858">
        <f>D858</f>
        <v/>
      </c>
      <c r="K858">
        <f>E858</f>
        <v/>
      </c>
      <c r="L858">
        <f>F858</f>
        <v/>
      </c>
      <c r="M858" s="11">
        <f>I858*K858</f>
        <v/>
      </c>
      <c r="N858" s="12">
        <f>LN(G858)</f>
        <v/>
      </c>
      <c r="O858" s="12">
        <f>H858*Beta_0+I858*Beta_1+J858*Beta_2+K858*Beta_3+L858*Beta_4+M858*Beta_5</f>
        <v/>
      </c>
      <c r="P858" s="12">
        <f>N858-O858</f>
        <v/>
      </c>
      <c r="Q858" s="13">
        <f>EXP(O858)*Smearing_Factor</f>
        <v/>
      </c>
    </row>
    <row r="859">
      <c r="A859" t="n">
        <v>858</v>
      </c>
      <c r="B859" t="inlineStr">
        <is>
          <t>Health and welfare</t>
        </is>
      </c>
      <c r="C859" s="9" t="n">
        <v>2.72</v>
      </c>
      <c r="D859" t="n">
        <v>6</v>
      </c>
      <c r="E859" t="n">
        <v>0</v>
      </c>
      <c r="F859" t="n">
        <v>1</v>
      </c>
      <c r="G859" s="10" t="n">
        <v>1630</v>
      </c>
      <c r="H859" t="n">
        <v>1</v>
      </c>
      <c r="I859" s="11">
        <f>C859-CGPA_Mean</f>
        <v/>
      </c>
      <c r="J859">
        <f>D859</f>
        <v/>
      </c>
      <c r="K859">
        <f>E859</f>
        <v/>
      </c>
      <c r="L859">
        <f>F859</f>
        <v/>
      </c>
      <c r="M859" s="11">
        <f>I859*K859</f>
        <v/>
      </c>
      <c r="N859" s="12">
        <f>LN(G859)</f>
        <v/>
      </c>
      <c r="O859" s="12">
        <f>H859*Beta_0+I859*Beta_1+J859*Beta_2+K859*Beta_3+L859*Beta_4+M859*Beta_5</f>
        <v/>
      </c>
      <c r="P859" s="12">
        <f>N859-O859</f>
        <v/>
      </c>
      <c r="Q859" s="13">
        <f>EXP(O859)*Smearing_Factor</f>
        <v/>
      </c>
    </row>
    <row r="860">
      <c r="A860" t="n">
        <v>859</v>
      </c>
      <c r="B860" t="inlineStr">
        <is>
          <t>Arts and humanities</t>
        </is>
      </c>
      <c r="C860" s="9" t="n">
        <v>3.64</v>
      </c>
      <c r="D860" t="n">
        <v>6</v>
      </c>
      <c r="E860" t="n">
        <v>0</v>
      </c>
      <c r="F860" t="n">
        <v>1</v>
      </c>
      <c r="G860" s="10" t="n">
        <v>1570</v>
      </c>
      <c r="H860" t="n">
        <v>1</v>
      </c>
      <c r="I860" s="11">
        <f>C860-CGPA_Mean</f>
        <v/>
      </c>
      <c r="J860">
        <f>D860</f>
        <v/>
      </c>
      <c r="K860">
        <f>E860</f>
        <v/>
      </c>
      <c r="L860">
        <f>F860</f>
        <v/>
      </c>
      <c r="M860" s="11">
        <f>I860*K860</f>
        <v/>
      </c>
      <c r="N860" s="12">
        <f>LN(G860)</f>
        <v/>
      </c>
      <c r="O860" s="12">
        <f>H860*Beta_0+I860*Beta_1+J860*Beta_2+K860*Beta_3+L860*Beta_4+M860*Beta_5</f>
        <v/>
      </c>
      <c r="P860" s="12">
        <f>N860-O860</f>
        <v/>
      </c>
      <c r="Q860" s="13">
        <f>EXP(O860)*Smearing_Factor</f>
        <v/>
      </c>
    </row>
    <row r="861">
      <c r="A861" t="n">
        <v>860</v>
      </c>
      <c r="B861" t="inlineStr">
        <is>
          <t>Business, administration and law</t>
        </is>
      </c>
      <c r="C861" s="9" t="n">
        <v>3.41</v>
      </c>
      <c r="D861" t="n">
        <v>6</v>
      </c>
      <c r="E861" t="n">
        <v>0</v>
      </c>
      <c r="F861" t="n">
        <v>0</v>
      </c>
      <c r="G861" s="10" t="n">
        <v>1830</v>
      </c>
      <c r="H861" t="n">
        <v>1</v>
      </c>
      <c r="I861" s="11">
        <f>C861-CGPA_Mean</f>
        <v/>
      </c>
      <c r="J861">
        <f>D861</f>
        <v/>
      </c>
      <c r="K861">
        <f>E861</f>
        <v/>
      </c>
      <c r="L861">
        <f>F861</f>
        <v/>
      </c>
      <c r="M861" s="11">
        <f>I861*K861</f>
        <v/>
      </c>
      <c r="N861" s="12">
        <f>LN(G861)</f>
        <v/>
      </c>
      <c r="O861" s="12">
        <f>H861*Beta_0+I861*Beta_1+J861*Beta_2+K861*Beta_3+L861*Beta_4+M861*Beta_5</f>
        <v/>
      </c>
      <c r="P861" s="12">
        <f>N861-O861</f>
        <v/>
      </c>
      <c r="Q861" s="13">
        <f>EXP(O861)*Smearing_Factor</f>
        <v/>
      </c>
    </row>
    <row r="862">
      <c r="A862" t="n">
        <v>861</v>
      </c>
      <c r="B862" t="inlineStr">
        <is>
          <t>Engineering, manufacturing and construction</t>
        </is>
      </c>
      <c r="C862" s="9" t="n">
        <v>3.63</v>
      </c>
      <c r="D862" t="n">
        <v>6</v>
      </c>
      <c r="E862" t="n">
        <v>1</v>
      </c>
      <c r="F862" t="n">
        <v>1</v>
      </c>
      <c r="G862" s="10" t="n">
        <v>3980</v>
      </c>
      <c r="H862" t="n">
        <v>1</v>
      </c>
      <c r="I862" s="11">
        <f>C862-CGPA_Mean</f>
        <v/>
      </c>
      <c r="J862">
        <f>D862</f>
        <v/>
      </c>
      <c r="K862">
        <f>E862</f>
        <v/>
      </c>
      <c r="L862">
        <f>F862</f>
        <v/>
      </c>
      <c r="M862" s="11">
        <f>I862*K862</f>
        <v/>
      </c>
      <c r="N862" s="12">
        <f>LN(G862)</f>
        <v/>
      </c>
      <c r="O862" s="12">
        <f>H862*Beta_0+I862*Beta_1+J862*Beta_2+K862*Beta_3+L862*Beta_4+M862*Beta_5</f>
        <v/>
      </c>
      <c r="P862" s="12">
        <f>N862-O862</f>
        <v/>
      </c>
      <c r="Q862" s="13">
        <f>EXP(O862)*Smearing_Factor</f>
        <v/>
      </c>
    </row>
    <row r="863">
      <c r="A863" t="n">
        <v>862</v>
      </c>
      <c r="B863" t="inlineStr">
        <is>
          <t>Natural sciences, mathematics and statistics</t>
        </is>
      </c>
      <c r="C863" s="9" t="n">
        <v>2.8</v>
      </c>
      <c r="D863" t="n">
        <v>9</v>
      </c>
      <c r="E863" t="n">
        <v>1</v>
      </c>
      <c r="F863" t="n">
        <v>0</v>
      </c>
      <c r="G863" s="10" t="n">
        <v>1700</v>
      </c>
      <c r="H863" t="n">
        <v>1</v>
      </c>
      <c r="I863" s="11">
        <f>C863-CGPA_Mean</f>
        <v/>
      </c>
      <c r="J863">
        <f>D863</f>
        <v/>
      </c>
      <c r="K863">
        <f>E863</f>
        <v/>
      </c>
      <c r="L863">
        <f>F863</f>
        <v/>
      </c>
      <c r="M863" s="11">
        <f>I863*K863</f>
        <v/>
      </c>
      <c r="N863" s="12">
        <f>LN(G863)</f>
        <v/>
      </c>
      <c r="O863" s="12">
        <f>H863*Beta_0+I863*Beta_1+J863*Beta_2+K863*Beta_3+L863*Beta_4+M863*Beta_5</f>
        <v/>
      </c>
      <c r="P863" s="12">
        <f>N863-O863</f>
        <v/>
      </c>
      <c r="Q863" s="13">
        <f>EXP(O863)*Smearing_Factor</f>
        <v/>
      </c>
    </row>
    <row r="864">
      <c r="A864" t="n">
        <v>863</v>
      </c>
      <c r="B864" t="inlineStr">
        <is>
          <t>Business, administration and law</t>
        </is>
      </c>
      <c r="C864" s="9" t="n">
        <v>3.14</v>
      </c>
      <c r="D864" t="n">
        <v>3</v>
      </c>
      <c r="E864" t="n">
        <v>0</v>
      </c>
      <c r="F864" t="n">
        <v>0</v>
      </c>
      <c r="G864" s="10" t="n">
        <v>1980</v>
      </c>
      <c r="H864" t="n">
        <v>1</v>
      </c>
      <c r="I864" s="11">
        <f>C864-CGPA_Mean</f>
        <v/>
      </c>
      <c r="J864">
        <f>D864</f>
        <v/>
      </c>
      <c r="K864">
        <f>E864</f>
        <v/>
      </c>
      <c r="L864">
        <f>F864</f>
        <v/>
      </c>
      <c r="M864" s="11">
        <f>I864*K864</f>
        <v/>
      </c>
      <c r="N864" s="12">
        <f>LN(G864)</f>
        <v/>
      </c>
      <c r="O864" s="12">
        <f>H864*Beta_0+I864*Beta_1+J864*Beta_2+K864*Beta_3+L864*Beta_4+M864*Beta_5</f>
        <v/>
      </c>
      <c r="P864" s="12">
        <f>N864-O864</f>
        <v/>
      </c>
      <c r="Q864" s="13">
        <f>EXP(O864)*Smearing_Factor</f>
        <v/>
      </c>
    </row>
    <row r="865">
      <c r="A865" t="n">
        <v>864</v>
      </c>
      <c r="B865" t="inlineStr">
        <is>
          <t>Natural sciences, mathematics and statistics</t>
        </is>
      </c>
      <c r="C865" s="9" t="n">
        <v>3.48</v>
      </c>
      <c r="D865" t="n">
        <v>3</v>
      </c>
      <c r="E865" t="n">
        <v>1</v>
      </c>
      <c r="F865" t="n">
        <v>0</v>
      </c>
      <c r="G865" s="10" t="n">
        <v>2980</v>
      </c>
      <c r="H865" t="n">
        <v>1</v>
      </c>
      <c r="I865" s="11">
        <f>C865-CGPA_Mean</f>
        <v/>
      </c>
      <c r="J865">
        <f>D865</f>
        <v/>
      </c>
      <c r="K865">
        <f>E865</f>
        <v/>
      </c>
      <c r="L865">
        <f>F865</f>
        <v/>
      </c>
      <c r="M865" s="11">
        <f>I865*K865</f>
        <v/>
      </c>
      <c r="N865" s="12">
        <f>LN(G865)</f>
        <v/>
      </c>
      <c r="O865" s="12">
        <f>H865*Beta_0+I865*Beta_1+J865*Beta_2+K865*Beta_3+L865*Beta_4+M865*Beta_5</f>
        <v/>
      </c>
      <c r="P865" s="12">
        <f>N865-O865</f>
        <v/>
      </c>
      <c r="Q865" s="13">
        <f>EXP(O865)*Smearing_Factor</f>
        <v/>
      </c>
    </row>
    <row r="866">
      <c r="A866" t="n">
        <v>865</v>
      </c>
      <c r="B866" t="inlineStr">
        <is>
          <t>Business, administration and law</t>
        </is>
      </c>
      <c r="C866" s="9" t="n">
        <v>2.79</v>
      </c>
      <c r="D866" t="n">
        <v>3</v>
      </c>
      <c r="E866" t="n">
        <v>0</v>
      </c>
      <c r="F866" t="n">
        <v>0</v>
      </c>
      <c r="G866" s="10" t="n">
        <v>1300</v>
      </c>
      <c r="H866" t="n">
        <v>1</v>
      </c>
      <c r="I866" s="11">
        <f>C866-CGPA_Mean</f>
        <v/>
      </c>
      <c r="J866">
        <f>D866</f>
        <v/>
      </c>
      <c r="K866">
        <f>E866</f>
        <v/>
      </c>
      <c r="L866">
        <f>F866</f>
        <v/>
      </c>
      <c r="M866" s="11">
        <f>I866*K866</f>
        <v/>
      </c>
      <c r="N866" s="12">
        <f>LN(G866)</f>
        <v/>
      </c>
      <c r="O866" s="12">
        <f>H866*Beta_0+I866*Beta_1+J866*Beta_2+K866*Beta_3+L866*Beta_4+M866*Beta_5</f>
        <v/>
      </c>
      <c r="P866" s="12">
        <f>N866-O866</f>
        <v/>
      </c>
      <c r="Q866" s="13">
        <f>EXP(O866)*Smearing_Factor</f>
        <v/>
      </c>
    </row>
    <row r="867">
      <c r="A867" t="n">
        <v>866</v>
      </c>
      <c r="B867" t="inlineStr">
        <is>
          <t>Arts and humanities</t>
        </is>
      </c>
      <c r="C867" s="9" t="n">
        <v>2.91</v>
      </c>
      <c r="D867" t="n">
        <v>6</v>
      </c>
      <c r="E867" t="n">
        <v>0</v>
      </c>
      <c r="F867" t="n">
        <v>1</v>
      </c>
      <c r="G867" s="10" t="n">
        <v>3970</v>
      </c>
      <c r="H867" t="n">
        <v>1</v>
      </c>
      <c r="I867" s="11">
        <f>C867-CGPA_Mean</f>
        <v/>
      </c>
      <c r="J867">
        <f>D867</f>
        <v/>
      </c>
      <c r="K867">
        <f>E867</f>
        <v/>
      </c>
      <c r="L867">
        <f>F867</f>
        <v/>
      </c>
      <c r="M867" s="11">
        <f>I867*K867</f>
        <v/>
      </c>
      <c r="N867" s="12">
        <f>LN(G867)</f>
        <v/>
      </c>
      <c r="O867" s="12">
        <f>H867*Beta_0+I867*Beta_1+J867*Beta_2+K867*Beta_3+L867*Beta_4+M867*Beta_5</f>
        <v/>
      </c>
      <c r="P867" s="12">
        <f>N867-O867</f>
        <v/>
      </c>
      <c r="Q867" s="13">
        <f>EXP(O867)*Smearing_Factor</f>
        <v/>
      </c>
    </row>
    <row r="868">
      <c r="A868" t="n">
        <v>867</v>
      </c>
      <c r="B868" t="inlineStr">
        <is>
          <t>Information and communication technologies</t>
        </is>
      </c>
      <c r="C868" s="9" t="n">
        <v>2.91</v>
      </c>
      <c r="D868" t="n">
        <v>6</v>
      </c>
      <c r="E868" t="n">
        <v>1</v>
      </c>
      <c r="F868" t="n">
        <v>0</v>
      </c>
      <c r="G868" s="10" t="n">
        <v>1010</v>
      </c>
      <c r="H868" t="n">
        <v>1</v>
      </c>
      <c r="I868" s="11">
        <f>C868-CGPA_Mean</f>
        <v/>
      </c>
      <c r="J868">
        <f>D868</f>
        <v/>
      </c>
      <c r="K868">
        <f>E868</f>
        <v/>
      </c>
      <c r="L868">
        <f>F868</f>
        <v/>
      </c>
      <c r="M868" s="11">
        <f>I868*K868</f>
        <v/>
      </c>
      <c r="N868" s="12">
        <f>LN(G868)</f>
        <v/>
      </c>
      <c r="O868" s="12">
        <f>H868*Beta_0+I868*Beta_1+J868*Beta_2+K868*Beta_3+L868*Beta_4+M868*Beta_5</f>
        <v/>
      </c>
      <c r="P868" s="12">
        <f>N868-O868</f>
        <v/>
      </c>
      <c r="Q868" s="13">
        <f>EXP(O868)*Smearing_Factor</f>
        <v/>
      </c>
    </row>
    <row r="869">
      <c r="A869" t="n">
        <v>868</v>
      </c>
      <c r="B869" t="inlineStr">
        <is>
          <t>Business, administration and law</t>
        </is>
      </c>
      <c r="C869" s="9" t="n">
        <v>3.26</v>
      </c>
      <c r="D869" t="n">
        <v>6</v>
      </c>
      <c r="E869" t="n">
        <v>0</v>
      </c>
      <c r="F869" t="n">
        <v>1</v>
      </c>
      <c r="G869" s="10" t="n">
        <v>3960</v>
      </c>
      <c r="H869" t="n">
        <v>1</v>
      </c>
      <c r="I869" s="11">
        <f>C869-CGPA_Mean</f>
        <v/>
      </c>
      <c r="J869">
        <f>D869</f>
        <v/>
      </c>
      <c r="K869">
        <f>E869</f>
        <v/>
      </c>
      <c r="L869">
        <f>F869</f>
        <v/>
      </c>
      <c r="M869" s="11">
        <f>I869*K869</f>
        <v/>
      </c>
      <c r="N869" s="12">
        <f>LN(G869)</f>
        <v/>
      </c>
      <c r="O869" s="12">
        <f>H869*Beta_0+I869*Beta_1+J869*Beta_2+K869*Beta_3+L869*Beta_4+M869*Beta_5</f>
        <v/>
      </c>
      <c r="P869" s="12">
        <f>N869-O869</f>
        <v/>
      </c>
      <c r="Q869" s="13">
        <f>EXP(O869)*Smearing_Factor</f>
        <v/>
      </c>
    </row>
    <row r="870">
      <c r="A870" t="n">
        <v>869</v>
      </c>
      <c r="B870" t="inlineStr">
        <is>
          <t>Natural sciences, mathematics and statistics</t>
        </is>
      </c>
      <c r="C870" s="9" t="n">
        <v>2.94</v>
      </c>
      <c r="D870" t="n">
        <v>6</v>
      </c>
      <c r="E870" t="n">
        <v>1</v>
      </c>
      <c r="F870" t="n">
        <v>0</v>
      </c>
      <c r="G870" s="10" t="n">
        <v>1580</v>
      </c>
      <c r="H870" t="n">
        <v>1</v>
      </c>
      <c r="I870" s="11">
        <f>C870-CGPA_Mean</f>
        <v/>
      </c>
      <c r="J870">
        <f>D870</f>
        <v/>
      </c>
      <c r="K870">
        <f>E870</f>
        <v/>
      </c>
      <c r="L870">
        <f>F870</f>
        <v/>
      </c>
      <c r="M870" s="11">
        <f>I870*K870</f>
        <v/>
      </c>
      <c r="N870" s="12">
        <f>LN(G870)</f>
        <v/>
      </c>
      <c r="O870" s="12">
        <f>H870*Beta_0+I870*Beta_1+J870*Beta_2+K870*Beta_3+L870*Beta_4+M870*Beta_5</f>
        <v/>
      </c>
      <c r="P870" s="12">
        <f>N870-O870</f>
        <v/>
      </c>
      <c r="Q870" s="13">
        <f>EXP(O870)*Smearing_Factor</f>
        <v/>
      </c>
    </row>
    <row r="871">
      <c r="A871" t="n">
        <v>870</v>
      </c>
      <c r="B871" t="inlineStr">
        <is>
          <t>Business, administration and law</t>
        </is>
      </c>
      <c r="C871" s="9" t="n">
        <v>3.63</v>
      </c>
      <c r="D871" t="n">
        <v>6</v>
      </c>
      <c r="E871" t="n">
        <v>0</v>
      </c>
      <c r="F871" t="n">
        <v>0</v>
      </c>
      <c r="G871" s="10" t="n">
        <v>1950</v>
      </c>
      <c r="H871" t="n">
        <v>1</v>
      </c>
      <c r="I871" s="11">
        <f>C871-CGPA_Mean</f>
        <v/>
      </c>
      <c r="J871">
        <f>D871</f>
        <v/>
      </c>
      <c r="K871">
        <f>E871</f>
        <v/>
      </c>
      <c r="L871">
        <f>F871</f>
        <v/>
      </c>
      <c r="M871" s="11">
        <f>I871*K871</f>
        <v/>
      </c>
      <c r="N871" s="12">
        <f>LN(G871)</f>
        <v/>
      </c>
      <c r="O871" s="12">
        <f>H871*Beta_0+I871*Beta_1+J871*Beta_2+K871*Beta_3+L871*Beta_4+M871*Beta_5</f>
        <v/>
      </c>
      <c r="P871" s="12">
        <f>N871-O871</f>
        <v/>
      </c>
      <c r="Q871" s="13">
        <f>EXP(O871)*Smearing_Factor</f>
        <v/>
      </c>
    </row>
    <row r="872">
      <c r="A872" t="n">
        <v>871</v>
      </c>
      <c r="B872" t="inlineStr">
        <is>
          <t>Natural sciences, mathematics and statistics</t>
        </is>
      </c>
      <c r="C872" s="9" t="n">
        <v>3.28</v>
      </c>
      <c r="D872" t="n">
        <v>6</v>
      </c>
      <c r="E872" t="n">
        <v>1</v>
      </c>
      <c r="F872" t="n">
        <v>1</v>
      </c>
      <c r="G872" s="10" t="n">
        <v>3340</v>
      </c>
      <c r="H872" t="n">
        <v>1</v>
      </c>
      <c r="I872" s="11">
        <f>C872-CGPA_Mean</f>
        <v/>
      </c>
      <c r="J872">
        <f>D872</f>
        <v/>
      </c>
      <c r="K872">
        <f>E872</f>
        <v/>
      </c>
      <c r="L872">
        <f>F872</f>
        <v/>
      </c>
      <c r="M872" s="11">
        <f>I872*K872</f>
        <v/>
      </c>
      <c r="N872" s="12">
        <f>LN(G872)</f>
        <v/>
      </c>
      <c r="O872" s="12">
        <f>H872*Beta_0+I872*Beta_1+J872*Beta_2+K872*Beta_3+L872*Beta_4+M872*Beta_5</f>
        <v/>
      </c>
      <c r="P872" s="12">
        <f>N872-O872</f>
        <v/>
      </c>
      <c r="Q872" s="13">
        <f>EXP(O872)*Smearing_Factor</f>
        <v/>
      </c>
    </row>
    <row r="873">
      <c r="A873" t="n">
        <v>872</v>
      </c>
      <c r="B873" t="inlineStr">
        <is>
          <t>Social sciences, journalism and information</t>
        </is>
      </c>
      <c r="C873" s="9" t="n">
        <v>2.97</v>
      </c>
      <c r="D873" t="n">
        <v>3</v>
      </c>
      <c r="E873" t="n">
        <v>0</v>
      </c>
      <c r="F873" t="n">
        <v>0</v>
      </c>
      <c r="G873" s="10" t="n">
        <v>2570</v>
      </c>
      <c r="H873" t="n">
        <v>1</v>
      </c>
      <c r="I873" s="11">
        <f>C873-CGPA_Mean</f>
        <v/>
      </c>
      <c r="J873">
        <f>D873</f>
        <v/>
      </c>
      <c r="K873">
        <f>E873</f>
        <v/>
      </c>
      <c r="L873">
        <f>F873</f>
        <v/>
      </c>
      <c r="M873" s="11">
        <f>I873*K873</f>
        <v/>
      </c>
      <c r="N873" s="12">
        <f>LN(G873)</f>
        <v/>
      </c>
      <c r="O873" s="12">
        <f>H873*Beta_0+I873*Beta_1+J873*Beta_2+K873*Beta_3+L873*Beta_4+M873*Beta_5</f>
        <v/>
      </c>
      <c r="P873" s="12">
        <f>N873-O873</f>
        <v/>
      </c>
      <c r="Q873" s="13">
        <f>EXP(O873)*Smearing_Factor</f>
        <v/>
      </c>
    </row>
    <row r="874">
      <c r="A874" t="n">
        <v>873</v>
      </c>
      <c r="B874" t="inlineStr">
        <is>
          <t>Business, administration and law</t>
        </is>
      </c>
      <c r="C874" s="9" t="n">
        <v>3.49</v>
      </c>
      <c r="D874" t="n">
        <v>6</v>
      </c>
      <c r="E874" t="n">
        <v>0</v>
      </c>
      <c r="F874" t="n">
        <v>1</v>
      </c>
      <c r="G874" s="10" t="n">
        <v>2350</v>
      </c>
      <c r="H874" t="n">
        <v>1</v>
      </c>
      <c r="I874" s="11">
        <f>C874-CGPA_Mean</f>
        <v/>
      </c>
      <c r="J874">
        <f>D874</f>
        <v/>
      </c>
      <c r="K874">
        <f>E874</f>
        <v/>
      </c>
      <c r="L874">
        <f>F874</f>
        <v/>
      </c>
      <c r="M874" s="11">
        <f>I874*K874</f>
        <v/>
      </c>
      <c r="N874" s="12">
        <f>LN(G874)</f>
        <v/>
      </c>
      <c r="O874" s="12">
        <f>H874*Beta_0+I874*Beta_1+J874*Beta_2+K874*Beta_3+L874*Beta_4+M874*Beta_5</f>
        <v/>
      </c>
      <c r="P874" s="12">
        <f>N874-O874</f>
        <v/>
      </c>
      <c r="Q874" s="13">
        <f>EXP(O874)*Smearing_Factor</f>
        <v/>
      </c>
    </row>
    <row r="875">
      <c r="A875" t="n">
        <v>874</v>
      </c>
      <c r="B875" t="inlineStr">
        <is>
          <t>Engineering, manufacturing and construction</t>
        </is>
      </c>
      <c r="C875" s="9" t="n">
        <v>3.49</v>
      </c>
      <c r="D875" t="n">
        <v>6</v>
      </c>
      <c r="E875" t="n">
        <v>1</v>
      </c>
      <c r="F875" t="n">
        <v>1</v>
      </c>
      <c r="G875" s="10" t="n">
        <v>3840</v>
      </c>
      <c r="H875" t="n">
        <v>1</v>
      </c>
      <c r="I875" s="11">
        <f>C875-CGPA_Mean</f>
        <v/>
      </c>
      <c r="J875">
        <f>D875</f>
        <v/>
      </c>
      <c r="K875">
        <f>E875</f>
        <v/>
      </c>
      <c r="L875">
        <f>F875</f>
        <v/>
      </c>
      <c r="M875" s="11">
        <f>I875*K875</f>
        <v/>
      </c>
      <c r="N875" s="12">
        <f>LN(G875)</f>
        <v/>
      </c>
      <c r="O875" s="12">
        <f>H875*Beta_0+I875*Beta_1+J875*Beta_2+K875*Beta_3+L875*Beta_4+M875*Beta_5</f>
        <v/>
      </c>
      <c r="P875" s="12">
        <f>N875-O875</f>
        <v/>
      </c>
      <c r="Q875" s="13">
        <f>EXP(O875)*Smearing_Factor</f>
        <v/>
      </c>
    </row>
    <row r="876">
      <c r="A876" t="n">
        <v>875</v>
      </c>
      <c r="B876" t="inlineStr">
        <is>
          <t>Engineering, manufacturing and construction</t>
        </is>
      </c>
      <c r="C876" s="9" t="n">
        <v>2.77</v>
      </c>
      <c r="D876" t="n">
        <v>6</v>
      </c>
      <c r="E876" t="n">
        <v>1</v>
      </c>
      <c r="F876" t="n">
        <v>1</v>
      </c>
      <c r="G876" s="10" t="n">
        <v>2320</v>
      </c>
      <c r="H876" t="n">
        <v>1</v>
      </c>
      <c r="I876" s="11">
        <f>C876-CGPA_Mean</f>
        <v/>
      </c>
      <c r="J876">
        <f>D876</f>
        <v/>
      </c>
      <c r="K876">
        <f>E876</f>
        <v/>
      </c>
      <c r="L876">
        <f>F876</f>
        <v/>
      </c>
      <c r="M876" s="11">
        <f>I876*K876</f>
        <v/>
      </c>
      <c r="N876" s="12">
        <f>LN(G876)</f>
        <v/>
      </c>
      <c r="O876" s="12">
        <f>H876*Beta_0+I876*Beta_1+J876*Beta_2+K876*Beta_3+L876*Beta_4+M876*Beta_5</f>
        <v/>
      </c>
      <c r="P876" s="12">
        <f>N876-O876</f>
        <v/>
      </c>
      <c r="Q876" s="13">
        <f>EXP(O876)*Smearing_Factor</f>
        <v/>
      </c>
    </row>
    <row r="877">
      <c r="A877" t="n">
        <v>876</v>
      </c>
      <c r="B877" t="inlineStr">
        <is>
          <t>Business, administration and law</t>
        </is>
      </c>
      <c r="C877" s="9" t="n">
        <v>2.76</v>
      </c>
      <c r="D877" t="n">
        <v>3</v>
      </c>
      <c r="E877" t="n">
        <v>0</v>
      </c>
      <c r="F877" t="n">
        <v>0</v>
      </c>
      <c r="G877" s="10" t="n">
        <v>1440</v>
      </c>
      <c r="H877" t="n">
        <v>1</v>
      </c>
      <c r="I877" s="11">
        <f>C877-CGPA_Mean</f>
        <v/>
      </c>
      <c r="J877">
        <f>D877</f>
        <v/>
      </c>
      <c r="K877">
        <f>E877</f>
        <v/>
      </c>
      <c r="L877">
        <f>F877</f>
        <v/>
      </c>
      <c r="M877" s="11">
        <f>I877*K877</f>
        <v/>
      </c>
      <c r="N877" s="12">
        <f>LN(G877)</f>
        <v/>
      </c>
      <c r="O877" s="12">
        <f>H877*Beta_0+I877*Beta_1+J877*Beta_2+K877*Beta_3+L877*Beta_4+M877*Beta_5</f>
        <v/>
      </c>
      <c r="P877" s="12">
        <f>N877-O877</f>
        <v/>
      </c>
      <c r="Q877" s="13">
        <f>EXP(O877)*Smearing_Factor</f>
        <v/>
      </c>
    </row>
    <row r="878">
      <c r="A878" t="n">
        <v>877</v>
      </c>
      <c r="B878" t="inlineStr">
        <is>
          <t>Business, administration and law</t>
        </is>
      </c>
      <c r="C878" s="9" t="n">
        <v>3.49</v>
      </c>
      <c r="D878" t="n">
        <v>9</v>
      </c>
      <c r="E878" t="n">
        <v>0</v>
      </c>
      <c r="F878" t="n">
        <v>0</v>
      </c>
      <c r="G878" s="10" t="n">
        <v>3450</v>
      </c>
      <c r="H878" t="n">
        <v>1</v>
      </c>
      <c r="I878" s="11">
        <f>C878-CGPA_Mean</f>
        <v/>
      </c>
      <c r="J878">
        <f>D878</f>
        <v/>
      </c>
      <c r="K878">
        <f>E878</f>
        <v/>
      </c>
      <c r="L878">
        <f>F878</f>
        <v/>
      </c>
      <c r="M878" s="11">
        <f>I878*K878</f>
        <v/>
      </c>
      <c r="N878" s="12">
        <f>LN(G878)</f>
        <v/>
      </c>
      <c r="O878" s="12">
        <f>H878*Beta_0+I878*Beta_1+J878*Beta_2+K878*Beta_3+L878*Beta_4+M878*Beta_5</f>
        <v/>
      </c>
      <c r="P878" s="12">
        <f>N878-O878</f>
        <v/>
      </c>
      <c r="Q878" s="13">
        <f>EXP(O878)*Smearing_Factor</f>
        <v/>
      </c>
    </row>
    <row r="879">
      <c r="A879" t="n">
        <v>878</v>
      </c>
      <c r="B879" t="inlineStr">
        <is>
          <t>Social sciences, journalism and information</t>
        </is>
      </c>
      <c r="C879" s="9" t="n">
        <v>3.13</v>
      </c>
      <c r="D879" t="n">
        <v>6</v>
      </c>
      <c r="E879" t="n">
        <v>0</v>
      </c>
      <c r="F879" t="n">
        <v>0</v>
      </c>
      <c r="G879" s="10" t="n">
        <v>2490</v>
      </c>
      <c r="H879" t="n">
        <v>1</v>
      </c>
      <c r="I879" s="11">
        <f>C879-CGPA_Mean</f>
        <v/>
      </c>
      <c r="J879">
        <f>D879</f>
        <v/>
      </c>
      <c r="K879">
        <f>E879</f>
        <v/>
      </c>
      <c r="L879">
        <f>F879</f>
        <v/>
      </c>
      <c r="M879" s="11">
        <f>I879*K879</f>
        <v/>
      </c>
      <c r="N879" s="12">
        <f>LN(G879)</f>
        <v/>
      </c>
      <c r="O879" s="12">
        <f>H879*Beta_0+I879*Beta_1+J879*Beta_2+K879*Beta_3+L879*Beta_4+M879*Beta_5</f>
        <v/>
      </c>
      <c r="P879" s="12">
        <f>N879-O879</f>
        <v/>
      </c>
      <c r="Q879" s="13">
        <f>EXP(O879)*Smearing_Factor</f>
        <v/>
      </c>
    </row>
    <row r="880">
      <c r="A880" t="n">
        <v>879</v>
      </c>
      <c r="B880" t="inlineStr">
        <is>
          <t>Business, administration and law</t>
        </is>
      </c>
      <c r="C880" s="9" t="n">
        <v>3.2</v>
      </c>
      <c r="D880" t="n">
        <v>9</v>
      </c>
      <c r="E880" t="n">
        <v>0</v>
      </c>
      <c r="F880" t="n">
        <v>1</v>
      </c>
      <c r="G880" s="10" t="n">
        <v>9980</v>
      </c>
      <c r="H880" t="n">
        <v>1</v>
      </c>
      <c r="I880" s="11">
        <f>C880-CGPA_Mean</f>
        <v/>
      </c>
      <c r="J880">
        <f>D880</f>
        <v/>
      </c>
      <c r="K880">
        <f>E880</f>
        <v/>
      </c>
      <c r="L880">
        <f>F880</f>
        <v/>
      </c>
      <c r="M880" s="11">
        <f>I880*K880</f>
        <v/>
      </c>
      <c r="N880" s="12">
        <f>LN(G880)</f>
        <v/>
      </c>
      <c r="O880" s="12">
        <f>H880*Beta_0+I880*Beta_1+J880*Beta_2+K880*Beta_3+L880*Beta_4+M880*Beta_5</f>
        <v/>
      </c>
      <c r="P880" s="12">
        <f>N880-O880</f>
        <v/>
      </c>
      <c r="Q880" s="13">
        <f>EXP(O880)*Smearing_Factor</f>
        <v/>
      </c>
    </row>
    <row r="881">
      <c r="A881" t="n">
        <v>880</v>
      </c>
      <c r="B881" t="inlineStr">
        <is>
          <t>Social sciences, journalism and information</t>
        </is>
      </c>
      <c r="C881" s="9" t="n">
        <v>3.15</v>
      </c>
      <c r="D881" t="n">
        <v>9</v>
      </c>
      <c r="E881" t="n">
        <v>0</v>
      </c>
      <c r="F881" t="n">
        <v>1</v>
      </c>
      <c r="G881" s="10" t="n">
        <v>2270</v>
      </c>
      <c r="H881" t="n">
        <v>1</v>
      </c>
      <c r="I881" s="11">
        <f>C881-CGPA_Mean</f>
        <v/>
      </c>
      <c r="J881">
        <f>D881</f>
        <v/>
      </c>
      <c r="K881">
        <f>E881</f>
        <v/>
      </c>
      <c r="L881">
        <f>F881</f>
        <v/>
      </c>
      <c r="M881" s="11">
        <f>I881*K881</f>
        <v/>
      </c>
      <c r="N881" s="12">
        <f>LN(G881)</f>
        <v/>
      </c>
      <c r="O881" s="12">
        <f>H881*Beta_0+I881*Beta_1+J881*Beta_2+K881*Beta_3+L881*Beta_4+M881*Beta_5</f>
        <v/>
      </c>
      <c r="P881" s="12">
        <f>N881-O881</f>
        <v/>
      </c>
      <c r="Q881" s="13">
        <f>EXP(O881)*Smearing_Factor</f>
        <v/>
      </c>
    </row>
    <row r="882">
      <c r="A882" t="n">
        <v>881</v>
      </c>
      <c r="B882" t="inlineStr">
        <is>
          <t>Information and communication technologies</t>
        </is>
      </c>
      <c r="C882" s="9" t="n">
        <v>3.22</v>
      </c>
      <c r="D882" t="n">
        <v>9</v>
      </c>
      <c r="E882" t="n">
        <v>1</v>
      </c>
      <c r="F882" t="n">
        <v>0</v>
      </c>
      <c r="G882" s="10" t="n">
        <v>3880</v>
      </c>
      <c r="H882" t="n">
        <v>1</v>
      </c>
      <c r="I882" s="11">
        <f>C882-CGPA_Mean</f>
        <v/>
      </c>
      <c r="J882">
        <f>D882</f>
        <v/>
      </c>
      <c r="K882">
        <f>E882</f>
        <v/>
      </c>
      <c r="L882">
        <f>F882</f>
        <v/>
      </c>
      <c r="M882" s="11">
        <f>I882*K882</f>
        <v/>
      </c>
      <c r="N882" s="12">
        <f>LN(G882)</f>
        <v/>
      </c>
      <c r="O882" s="12">
        <f>H882*Beta_0+I882*Beta_1+J882*Beta_2+K882*Beta_3+L882*Beta_4+M882*Beta_5</f>
        <v/>
      </c>
      <c r="P882" s="12">
        <f>N882-O882</f>
        <v/>
      </c>
      <c r="Q882" s="13">
        <f>EXP(O882)*Smearing_Factor</f>
        <v/>
      </c>
    </row>
    <row r="883">
      <c r="A883" t="n">
        <v>882</v>
      </c>
      <c r="B883" t="inlineStr">
        <is>
          <t>Business, administration and law</t>
        </is>
      </c>
      <c r="C883" s="9" t="n">
        <v>2.89</v>
      </c>
      <c r="D883" t="n">
        <v>3</v>
      </c>
      <c r="E883" t="n">
        <v>0</v>
      </c>
      <c r="F883" t="n">
        <v>0</v>
      </c>
      <c r="G883" s="10" t="n">
        <v>1670</v>
      </c>
      <c r="H883" t="n">
        <v>1</v>
      </c>
      <c r="I883" s="11">
        <f>C883-CGPA_Mean</f>
        <v/>
      </c>
      <c r="J883">
        <f>D883</f>
        <v/>
      </c>
      <c r="K883">
        <f>E883</f>
        <v/>
      </c>
      <c r="L883">
        <f>F883</f>
        <v/>
      </c>
      <c r="M883" s="11">
        <f>I883*K883</f>
        <v/>
      </c>
      <c r="N883" s="12">
        <f>LN(G883)</f>
        <v/>
      </c>
      <c r="O883" s="12">
        <f>H883*Beta_0+I883*Beta_1+J883*Beta_2+K883*Beta_3+L883*Beta_4+M883*Beta_5</f>
        <v/>
      </c>
      <c r="P883" s="12">
        <f>N883-O883</f>
        <v/>
      </c>
      <c r="Q883" s="13">
        <f>EXP(O883)*Smearing_Factor</f>
        <v/>
      </c>
    </row>
    <row r="884">
      <c r="A884" t="n">
        <v>883</v>
      </c>
      <c r="B884" t="inlineStr">
        <is>
          <t>Business, administration and law</t>
        </is>
      </c>
      <c r="C884" s="9" t="n">
        <v>3.34</v>
      </c>
      <c r="D884" t="n">
        <v>6</v>
      </c>
      <c r="E884" t="n">
        <v>0</v>
      </c>
      <c r="F884" t="n">
        <v>0</v>
      </c>
      <c r="G884" s="10" t="n">
        <v>1880</v>
      </c>
      <c r="H884" t="n">
        <v>1</v>
      </c>
      <c r="I884" s="11">
        <f>C884-CGPA_Mean</f>
        <v/>
      </c>
      <c r="J884">
        <f>D884</f>
        <v/>
      </c>
      <c r="K884">
        <f>E884</f>
        <v/>
      </c>
      <c r="L884">
        <f>F884</f>
        <v/>
      </c>
      <c r="M884" s="11">
        <f>I884*K884</f>
        <v/>
      </c>
      <c r="N884" s="12">
        <f>LN(G884)</f>
        <v/>
      </c>
      <c r="O884" s="12">
        <f>H884*Beta_0+I884*Beta_1+J884*Beta_2+K884*Beta_3+L884*Beta_4+M884*Beta_5</f>
        <v/>
      </c>
      <c r="P884" s="12">
        <f>N884-O884</f>
        <v/>
      </c>
      <c r="Q884" s="13">
        <f>EXP(O884)*Smearing_Factor</f>
        <v/>
      </c>
    </row>
    <row r="885">
      <c r="A885" t="n">
        <v>884</v>
      </c>
      <c r="B885" t="inlineStr">
        <is>
          <t>Information and communication technologies</t>
        </is>
      </c>
      <c r="C885" s="9" t="n">
        <v>3.06</v>
      </c>
      <c r="D885" t="n">
        <v>6</v>
      </c>
      <c r="E885" t="n">
        <v>1</v>
      </c>
      <c r="F885" t="n">
        <v>1</v>
      </c>
      <c r="G885" s="10" t="n">
        <v>4650</v>
      </c>
      <c r="H885" t="n">
        <v>1</v>
      </c>
      <c r="I885" s="11">
        <f>C885-CGPA_Mean</f>
        <v/>
      </c>
      <c r="J885">
        <f>D885</f>
        <v/>
      </c>
      <c r="K885">
        <f>E885</f>
        <v/>
      </c>
      <c r="L885">
        <f>F885</f>
        <v/>
      </c>
      <c r="M885" s="11">
        <f>I885*K885</f>
        <v/>
      </c>
      <c r="N885" s="12">
        <f>LN(G885)</f>
        <v/>
      </c>
      <c r="O885" s="12">
        <f>H885*Beta_0+I885*Beta_1+J885*Beta_2+K885*Beta_3+L885*Beta_4+M885*Beta_5</f>
        <v/>
      </c>
      <c r="P885" s="12">
        <f>N885-O885</f>
        <v/>
      </c>
      <c r="Q885" s="13">
        <f>EXP(O885)*Smearing_Factor</f>
        <v/>
      </c>
    </row>
    <row r="886">
      <c r="A886" t="n">
        <v>885</v>
      </c>
      <c r="B886" t="inlineStr">
        <is>
          <t>Arts and humanities</t>
        </is>
      </c>
      <c r="C886" s="9" t="n">
        <v>3.5</v>
      </c>
      <c r="D886" t="n">
        <v>6</v>
      </c>
      <c r="E886" t="n">
        <v>0</v>
      </c>
      <c r="F886" t="n">
        <v>0</v>
      </c>
      <c r="G886" s="10" t="n">
        <v>2840</v>
      </c>
      <c r="H886" t="n">
        <v>1</v>
      </c>
      <c r="I886" s="11">
        <f>C886-CGPA_Mean</f>
        <v/>
      </c>
      <c r="J886">
        <f>D886</f>
        <v/>
      </c>
      <c r="K886">
        <f>E886</f>
        <v/>
      </c>
      <c r="L886">
        <f>F886</f>
        <v/>
      </c>
      <c r="M886" s="11">
        <f>I886*K886</f>
        <v/>
      </c>
      <c r="N886" s="12">
        <f>LN(G886)</f>
        <v/>
      </c>
      <c r="O886" s="12">
        <f>H886*Beta_0+I886*Beta_1+J886*Beta_2+K886*Beta_3+L886*Beta_4+M886*Beta_5</f>
        <v/>
      </c>
      <c r="P886" s="12">
        <f>N886-O886</f>
        <v/>
      </c>
      <c r="Q886" s="13">
        <f>EXP(O886)*Smearing_Factor</f>
        <v/>
      </c>
    </row>
    <row r="887">
      <c r="A887" t="n">
        <v>886</v>
      </c>
      <c r="B887" t="inlineStr">
        <is>
          <t>Business, administration and law</t>
        </is>
      </c>
      <c r="C887" s="9" t="n">
        <v>3.58</v>
      </c>
      <c r="D887" t="n">
        <v>3</v>
      </c>
      <c r="E887" t="n">
        <v>0</v>
      </c>
      <c r="F887" t="n">
        <v>1</v>
      </c>
      <c r="G887" s="10" t="n">
        <v>4290</v>
      </c>
      <c r="H887" t="n">
        <v>1</v>
      </c>
      <c r="I887" s="11">
        <f>C887-CGPA_Mean</f>
        <v/>
      </c>
      <c r="J887">
        <f>D887</f>
        <v/>
      </c>
      <c r="K887">
        <f>E887</f>
        <v/>
      </c>
      <c r="L887">
        <f>F887</f>
        <v/>
      </c>
      <c r="M887" s="11">
        <f>I887*K887</f>
        <v/>
      </c>
      <c r="N887" s="12">
        <f>LN(G887)</f>
        <v/>
      </c>
      <c r="O887" s="12">
        <f>H887*Beta_0+I887*Beta_1+J887*Beta_2+K887*Beta_3+L887*Beta_4+M887*Beta_5</f>
        <v/>
      </c>
      <c r="P887" s="12">
        <f>N887-O887</f>
        <v/>
      </c>
      <c r="Q887" s="13">
        <f>EXP(O887)*Smearing_Factor</f>
        <v/>
      </c>
    </row>
    <row r="888">
      <c r="A888" t="n">
        <v>887</v>
      </c>
      <c r="B888" t="inlineStr">
        <is>
          <t>Arts and humanities</t>
        </is>
      </c>
      <c r="C888" s="9" t="n">
        <v>3.6</v>
      </c>
      <c r="D888" t="n">
        <v>6</v>
      </c>
      <c r="E888" t="n">
        <v>0</v>
      </c>
      <c r="F888" t="n">
        <v>0</v>
      </c>
      <c r="G888" s="10" t="n">
        <v>1310</v>
      </c>
      <c r="H888" t="n">
        <v>1</v>
      </c>
      <c r="I888" s="11">
        <f>C888-CGPA_Mean</f>
        <v/>
      </c>
      <c r="J888">
        <f>D888</f>
        <v/>
      </c>
      <c r="K888">
        <f>E888</f>
        <v/>
      </c>
      <c r="L888">
        <f>F888</f>
        <v/>
      </c>
      <c r="M888" s="11">
        <f>I888*K888</f>
        <v/>
      </c>
      <c r="N888" s="12">
        <f>LN(G888)</f>
        <v/>
      </c>
      <c r="O888" s="12">
        <f>H888*Beta_0+I888*Beta_1+J888*Beta_2+K888*Beta_3+L888*Beta_4+M888*Beta_5</f>
        <v/>
      </c>
      <c r="P888" s="12">
        <f>N888-O888</f>
        <v/>
      </c>
      <c r="Q888" s="13">
        <f>EXP(O888)*Smearing_Factor</f>
        <v/>
      </c>
    </row>
    <row r="889">
      <c r="A889" t="n">
        <v>888</v>
      </c>
      <c r="B889" t="inlineStr">
        <is>
          <t>Business, administration and law</t>
        </is>
      </c>
      <c r="C889" s="9" t="n">
        <v>3.12</v>
      </c>
      <c r="D889" t="n">
        <v>6</v>
      </c>
      <c r="E889" t="n">
        <v>0</v>
      </c>
      <c r="F889" t="n">
        <v>0</v>
      </c>
      <c r="G889" s="10" t="n">
        <v>1540</v>
      </c>
      <c r="H889" t="n">
        <v>1</v>
      </c>
      <c r="I889" s="11">
        <f>C889-CGPA_Mean</f>
        <v/>
      </c>
      <c r="J889">
        <f>D889</f>
        <v/>
      </c>
      <c r="K889">
        <f>E889</f>
        <v/>
      </c>
      <c r="L889">
        <f>F889</f>
        <v/>
      </c>
      <c r="M889" s="11">
        <f>I889*K889</f>
        <v/>
      </c>
      <c r="N889" s="12">
        <f>LN(G889)</f>
        <v/>
      </c>
      <c r="O889" s="12">
        <f>H889*Beta_0+I889*Beta_1+J889*Beta_2+K889*Beta_3+L889*Beta_4+M889*Beta_5</f>
        <v/>
      </c>
      <c r="P889" s="12">
        <f>N889-O889</f>
        <v/>
      </c>
      <c r="Q889" s="13">
        <f>EXP(O889)*Smearing_Factor</f>
        <v/>
      </c>
    </row>
    <row r="890">
      <c r="A890" t="n">
        <v>889</v>
      </c>
      <c r="B890" t="inlineStr">
        <is>
          <t>Business, administration and law</t>
        </is>
      </c>
      <c r="C890" s="9" t="n">
        <v>3.27</v>
      </c>
      <c r="D890" t="n">
        <v>6</v>
      </c>
      <c r="E890" t="n">
        <v>0</v>
      </c>
      <c r="F890" t="n">
        <v>1</v>
      </c>
      <c r="G890" s="10" t="n">
        <v>2980</v>
      </c>
      <c r="H890" t="n">
        <v>1</v>
      </c>
      <c r="I890" s="11">
        <f>C890-CGPA_Mean</f>
        <v/>
      </c>
      <c r="J890">
        <f>D890</f>
        <v/>
      </c>
      <c r="K890">
        <f>E890</f>
        <v/>
      </c>
      <c r="L890">
        <f>F890</f>
        <v/>
      </c>
      <c r="M890" s="11">
        <f>I890*K890</f>
        <v/>
      </c>
      <c r="N890" s="12">
        <f>LN(G890)</f>
        <v/>
      </c>
      <c r="O890" s="12">
        <f>H890*Beta_0+I890*Beta_1+J890*Beta_2+K890*Beta_3+L890*Beta_4+M890*Beta_5</f>
        <v/>
      </c>
      <c r="P890" s="12">
        <f>N890-O890</f>
        <v/>
      </c>
      <c r="Q890" s="13">
        <f>EXP(O890)*Smearing_Factor</f>
        <v/>
      </c>
    </row>
    <row r="891">
      <c r="A891" t="n">
        <v>890</v>
      </c>
      <c r="B891" t="inlineStr">
        <is>
          <t>Engineering, manufacturing and construction</t>
        </is>
      </c>
      <c r="C891" s="9" t="n">
        <v>3.15</v>
      </c>
      <c r="D891" t="n">
        <v>6</v>
      </c>
      <c r="E891" t="n">
        <v>1</v>
      </c>
      <c r="F891" t="n">
        <v>0</v>
      </c>
      <c r="G891" s="10" t="n">
        <v>3300</v>
      </c>
      <c r="H891" t="n">
        <v>1</v>
      </c>
      <c r="I891" s="11">
        <f>C891-CGPA_Mean</f>
        <v/>
      </c>
      <c r="J891">
        <f>D891</f>
        <v/>
      </c>
      <c r="K891">
        <f>E891</f>
        <v/>
      </c>
      <c r="L891">
        <f>F891</f>
        <v/>
      </c>
      <c r="M891" s="11">
        <f>I891*K891</f>
        <v/>
      </c>
      <c r="N891" s="12">
        <f>LN(G891)</f>
        <v/>
      </c>
      <c r="O891" s="12">
        <f>H891*Beta_0+I891*Beta_1+J891*Beta_2+K891*Beta_3+L891*Beta_4+M891*Beta_5</f>
        <v/>
      </c>
      <c r="P891" s="12">
        <f>N891-O891</f>
        <v/>
      </c>
      <c r="Q891" s="13">
        <f>EXP(O891)*Smearing_Factor</f>
        <v/>
      </c>
    </row>
    <row r="892">
      <c r="A892" t="n">
        <v>891</v>
      </c>
      <c r="B892" t="inlineStr">
        <is>
          <t>Social sciences, journalism and information</t>
        </is>
      </c>
      <c r="C892" s="9" t="n">
        <v>3.32</v>
      </c>
      <c r="D892" t="n">
        <v>6</v>
      </c>
      <c r="E892" t="n">
        <v>0</v>
      </c>
      <c r="F892" t="n">
        <v>0</v>
      </c>
      <c r="G892" s="10" t="n">
        <v>2250</v>
      </c>
      <c r="H892" t="n">
        <v>1</v>
      </c>
      <c r="I892" s="11">
        <f>C892-CGPA_Mean</f>
        <v/>
      </c>
      <c r="J892">
        <f>D892</f>
        <v/>
      </c>
      <c r="K892">
        <f>E892</f>
        <v/>
      </c>
      <c r="L892">
        <f>F892</f>
        <v/>
      </c>
      <c r="M892" s="11">
        <f>I892*K892</f>
        <v/>
      </c>
      <c r="N892" s="12">
        <f>LN(G892)</f>
        <v/>
      </c>
      <c r="O892" s="12">
        <f>H892*Beta_0+I892*Beta_1+J892*Beta_2+K892*Beta_3+L892*Beta_4+M892*Beta_5</f>
        <v/>
      </c>
      <c r="P892" s="12">
        <f>N892-O892</f>
        <v/>
      </c>
      <c r="Q892" s="13">
        <f>EXP(O892)*Smearing_Factor</f>
        <v/>
      </c>
    </row>
    <row r="893">
      <c r="A893" t="n">
        <v>892</v>
      </c>
      <c r="B893" t="inlineStr">
        <is>
          <t>Business, administration and law</t>
        </is>
      </c>
      <c r="C893" s="9" t="n">
        <v>3.36</v>
      </c>
      <c r="D893" t="n">
        <v>9</v>
      </c>
      <c r="E893" t="n">
        <v>0</v>
      </c>
      <c r="F893" t="n">
        <v>1</v>
      </c>
      <c r="G893" s="10" t="n">
        <v>1650</v>
      </c>
      <c r="H893" t="n">
        <v>1</v>
      </c>
      <c r="I893" s="11">
        <f>C893-CGPA_Mean</f>
        <v/>
      </c>
      <c r="J893">
        <f>D893</f>
        <v/>
      </c>
      <c r="K893">
        <f>E893</f>
        <v/>
      </c>
      <c r="L893">
        <f>F893</f>
        <v/>
      </c>
      <c r="M893" s="11">
        <f>I893*K893</f>
        <v/>
      </c>
      <c r="N893" s="12">
        <f>LN(G893)</f>
        <v/>
      </c>
      <c r="O893" s="12">
        <f>H893*Beta_0+I893*Beta_1+J893*Beta_2+K893*Beta_3+L893*Beta_4+M893*Beta_5</f>
        <v/>
      </c>
      <c r="P893" s="12">
        <f>N893-O893</f>
        <v/>
      </c>
      <c r="Q893" s="13">
        <f>EXP(O893)*Smearing_Factor</f>
        <v/>
      </c>
    </row>
    <row r="894">
      <c r="A894" t="n">
        <v>893</v>
      </c>
      <c r="B894" t="inlineStr">
        <is>
          <t>Business, administration and law</t>
        </is>
      </c>
      <c r="C894" s="9" t="n">
        <v>2.54</v>
      </c>
      <c r="D894" t="n">
        <v>6</v>
      </c>
      <c r="E894" t="n">
        <v>0</v>
      </c>
      <c r="F894" t="n">
        <v>0</v>
      </c>
      <c r="G894" s="10" t="n">
        <v>1660</v>
      </c>
      <c r="H894" t="n">
        <v>1</v>
      </c>
      <c r="I894" s="11">
        <f>C894-CGPA_Mean</f>
        <v/>
      </c>
      <c r="J894">
        <f>D894</f>
        <v/>
      </c>
      <c r="K894">
        <f>E894</f>
        <v/>
      </c>
      <c r="L894">
        <f>F894</f>
        <v/>
      </c>
      <c r="M894" s="11">
        <f>I894*K894</f>
        <v/>
      </c>
      <c r="N894" s="12">
        <f>LN(G894)</f>
        <v/>
      </c>
      <c r="O894" s="12">
        <f>H894*Beta_0+I894*Beta_1+J894*Beta_2+K894*Beta_3+L894*Beta_4+M894*Beta_5</f>
        <v/>
      </c>
      <c r="P894" s="12">
        <f>N894-O894</f>
        <v/>
      </c>
      <c r="Q894" s="13">
        <f>EXP(O894)*Smearing_Factor</f>
        <v/>
      </c>
    </row>
    <row r="895">
      <c r="A895" t="n">
        <v>894</v>
      </c>
      <c r="B895" t="inlineStr">
        <is>
          <t>Business, administration and law</t>
        </is>
      </c>
      <c r="C895" s="9" t="n">
        <v>3.74</v>
      </c>
      <c r="D895" t="n">
        <v>3</v>
      </c>
      <c r="E895" t="n">
        <v>0</v>
      </c>
      <c r="F895" t="n">
        <v>1</v>
      </c>
      <c r="G895" s="10" t="n">
        <v>3230</v>
      </c>
      <c r="H895" t="n">
        <v>1</v>
      </c>
      <c r="I895" s="11">
        <f>C895-CGPA_Mean</f>
        <v/>
      </c>
      <c r="J895">
        <f>D895</f>
        <v/>
      </c>
      <c r="K895">
        <f>E895</f>
        <v/>
      </c>
      <c r="L895">
        <f>F895</f>
        <v/>
      </c>
      <c r="M895" s="11">
        <f>I895*K895</f>
        <v/>
      </c>
      <c r="N895" s="12">
        <f>LN(G895)</f>
        <v/>
      </c>
      <c r="O895" s="12">
        <f>H895*Beta_0+I895*Beta_1+J895*Beta_2+K895*Beta_3+L895*Beta_4+M895*Beta_5</f>
        <v/>
      </c>
      <c r="P895" s="12">
        <f>N895-O895</f>
        <v/>
      </c>
      <c r="Q895" s="13">
        <f>EXP(O895)*Smearing_Factor</f>
        <v/>
      </c>
    </row>
    <row r="896">
      <c r="A896" t="n">
        <v>895</v>
      </c>
      <c r="B896" t="inlineStr">
        <is>
          <t>Arts and humanities</t>
        </is>
      </c>
      <c r="C896" s="9" t="n">
        <v>3.23</v>
      </c>
      <c r="D896" t="n">
        <v>9</v>
      </c>
      <c r="E896" t="n">
        <v>0</v>
      </c>
      <c r="F896" t="n">
        <v>0</v>
      </c>
      <c r="G896" s="10" t="n">
        <v>1830</v>
      </c>
      <c r="H896" t="n">
        <v>1</v>
      </c>
      <c r="I896" s="11">
        <f>C896-CGPA_Mean</f>
        <v/>
      </c>
      <c r="J896">
        <f>D896</f>
        <v/>
      </c>
      <c r="K896">
        <f>E896</f>
        <v/>
      </c>
      <c r="L896">
        <f>F896</f>
        <v/>
      </c>
      <c r="M896" s="11">
        <f>I896*K896</f>
        <v/>
      </c>
      <c r="N896" s="12">
        <f>LN(G896)</f>
        <v/>
      </c>
      <c r="O896" s="12">
        <f>H896*Beta_0+I896*Beta_1+J896*Beta_2+K896*Beta_3+L896*Beta_4+M896*Beta_5</f>
        <v/>
      </c>
      <c r="P896" s="12">
        <f>N896-O896</f>
        <v/>
      </c>
      <c r="Q896" s="13">
        <f>EXP(O896)*Smearing_Factor</f>
        <v/>
      </c>
    </row>
    <row r="897">
      <c r="A897" t="n">
        <v>896</v>
      </c>
      <c r="B897" t="inlineStr">
        <is>
          <t>Health and welfare</t>
        </is>
      </c>
      <c r="C897" s="9" t="n">
        <v>2.8</v>
      </c>
      <c r="D897" t="n">
        <v>3</v>
      </c>
      <c r="E897" t="n">
        <v>0</v>
      </c>
      <c r="F897" t="n">
        <v>1</v>
      </c>
      <c r="G897" s="10" t="n">
        <v>2530</v>
      </c>
      <c r="H897" t="n">
        <v>1</v>
      </c>
      <c r="I897" s="11">
        <f>C897-CGPA_Mean</f>
        <v/>
      </c>
      <c r="J897">
        <f>D897</f>
        <v/>
      </c>
      <c r="K897">
        <f>E897</f>
        <v/>
      </c>
      <c r="L897">
        <f>F897</f>
        <v/>
      </c>
      <c r="M897" s="11">
        <f>I897*K897</f>
        <v/>
      </c>
      <c r="N897" s="12">
        <f>LN(G897)</f>
        <v/>
      </c>
      <c r="O897" s="12">
        <f>H897*Beta_0+I897*Beta_1+J897*Beta_2+K897*Beta_3+L897*Beta_4+M897*Beta_5</f>
        <v/>
      </c>
      <c r="P897" s="12">
        <f>N897-O897</f>
        <v/>
      </c>
      <c r="Q897" s="13">
        <f>EXP(O897)*Smearing_Factor</f>
        <v/>
      </c>
    </row>
    <row r="898">
      <c r="A898" t="n">
        <v>897</v>
      </c>
      <c r="B898" t="inlineStr">
        <is>
          <t>Business, administration and law</t>
        </is>
      </c>
      <c r="C898" s="9" t="n">
        <v>2.96</v>
      </c>
      <c r="D898" t="n">
        <v>6</v>
      </c>
      <c r="E898" t="n">
        <v>0</v>
      </c>
      <c r="F898" t="n">
        <v>0</v>
      </c>
      <c r="G898" s="10" t="n">
        <v>3720</v>
      </c>
      <c r="H898" t="n">
        <v>1</v>
      </c>
      <c r="I898" s="11">
        <f>C898-CGPA_Mean</f>
        <v/>
      </c>
      <c r="J898">
        <f>D898</f>
        <v/>
      </c>
      <c r="K898">
        <f>E898</f>
        <v/>
      </c>
      <c r="L898">
        <f>F898</f>
        <v/>
      </c>
      <c r="M898" s="11">
        <f>I898*K898</f>
        <v/>
      </c>
      <c r="N898" s="12">
        <f>LN(G898)</f>
        <v/>
      </c>
      <c r="O898" s="12">
        <f>H898*Beta_0+I898*Beta_1+J898*Beta_2+K898*Beta_3+L898*Beta_4+M898*Beta_5</f>
        <v/>
      </c>
      <c r="P898" s="12">
        <f>N898-O898</f>
        <v/>
      </c>
      <c r="Q898" s="13">
        <f>EXP(O898)*Smearing_Factor</f>
        <v/>
      </c>
    </row>
    <row r="899">
      <c r="A899" t="n">
        <v>898</v>
      </c>
      <c r="B899" t="inlineStr">
        <is>
          <t>Natural sciences, mathematics and statistics</t>
        </is>
      </c>
      <c r="C899" s="9" t="n">
        <v>3.34</v>
      </c>
      <c r="D899" t="n">
        <v>6</v>
      </c>
      <c r="E899" t="n">
        <v>1</v>
      </c>
      <c r="F899" t="n">
        <v>1</v>
      </c>
      <c r="G899" s="10" t="n">
        <v>1750</v>
      </c>
      <c r="H899" t="n">
        <v>1</v>
      </c>
      <c r="I899" s="11">
        <f>C899-CGPA_Mean</f>
        <v/>
      </c>
      <c r="J899">
        <f>D899</f>
        <v/>
      </c>
      <c r="K899">
        <f>E899</f>
        <v/>
      </c>
      <c r="L899">
        <f>F899</f>
        <v/>
      </c>
      <c r="M899" s="11">
        <f>I899*K899</f>
        <v/>
      </c>
      <c r="N899" s="12">
        <f>LN(G899)</f>
        <v/>
      </c>
      <c r="O899" s="12">
        <f>H899*Beta_0+I899*Beta_1+J899*Beta_2+K899*Beta_3+L899*Beta_4+M899*Beta_5</f>
        <v/>
      </c>
      <c r="P899" s="12">
        <f>N899-O899</f>
        <v/>
      </c>
      <c r="Q899" s="13">
        <f>EXP(O899)*Smearing_Factor</f>
        <v/>
      </c>
    </row>
    <row r="900">
      <c r="A900" t="n">
        <v>899</v>
      </c>
      <c r="B900" t="inlineStr">
        <is>
          <t>Business, administration and law</t>
        </is>
      </c>
      <c r="C900" s="9" t="n">
        <v>3.19</v>
      </c>
      <c r="D900" t="n">
        <v>6</v>
      </c>
      <c r="E900" t="n">
        <v>0</v>
      </c>
      <c r="F900" t="n">
        <v>0</v>
      </c>
      <c r="G900" s="10" t="n">
        <v>3430</v>
      </c>
      <c r="H900" t="n">
        <v>1</v>
      </c>
      <c r="I900" s="11">
        <f>C900-CGPA_Mean</f>
        <v/>
      </c>
      <c r="J900">
        <f>D900</f>
        <v/>
      </c>
      <c r="K900">
        <f>E900</f>
        <v/>
      </c>
      <c r="L900">
        <f>F900</f>
        <v/>
      </c>
      <c r="M900" s="11">
        <f>I900*K900</f>
        <v/>
      </c>
      <c r="N900" s="12">
        <f>LN(G900)</f>
        <v/>
      </c>
      <c r="O900" s="12">
        <f>H900*Beta_0+I900*Beta_1+J900*Beta_2+K900*Beta_3+L900*Beta_4+M900*Beta_5</f>
        <v/>
      </c>
      <c r="P900" s="12">
        <f>N900-O900</f>
        <v/>
      </c>
      <c r="Q900" s="13">
        <f>EXP(O900)*Smearing_Factor</f>
        <v/>
      </c>
    </row>
    <row r="901">
      <c r="A901" t="n">
        <v>900</v>
      </c>
      <c r="B901" t="inlineStr">
        <is>
          <t>Arts and humanities</t>
        </is>
      </c>
      <c r="C901" s="9" t="n">
        <v>3.17</v>
      </c>
      <c r="D901" t="n">
        <v>6</v>
      </c>
      <c r="E901" t="n">
        <v>0</v>
      </c>
      <c r="F901" t="n">
        <v>1</v>
      </c>
      <c r="G901" s="10" t="n">
        <v>2000</v>
      </c>
      <c r="H901" t="n">
        <v>1</v>
      </c>
      <c r="I901" s="11">
        <f>C901-CGPA_Mean</f>
        <v/>
      </c>
      <c r="J901">
        <f>D901</f>
        <v/>
      </c>
      <c r="K901">
        <f>E901</f>
        <v/>
      </c>
      <c r="L901">
        <f>F901</f>
        <v/>
      </c>
      <c r="M901" s="11">
        <f>I901*K901</f>
        <v/>
      </c>
      <c r="N901" s="12">
        <f>LN(G901)</f>
        <v/>
      </c>
      <c r="O901" s="12">
        <f>H901*Beta_0+I901*Beta_1+J901*Beta_2+K901*Beta_3+L901*Beta_4+M901*Beta_5</f>
        <v/>
      </c>
      <c r="P901" s="12">
        <f>N901-O901</f>
        <v/>
      </c>
      <c r="Q901" s="13">
        <f>EXP(O901)*Smearing_Factor</f>
        <v/>
      </c>
    </row>
    <row r="902">
      <c r="A902" t="n">
        <v>901</v>
      </c>
      <c r="B902" t="inlineStr">
        <is>
          <t>Information and communication technologies</t>
        </is>
      </c>
      <c r="C902" s="9" t="n">
        <v>3.54</v>
      </c>
      <c r="D902" t="n">
        <v>6</v>
      </c>
      <c r="E902" t="n">
        <v>1</v>
      </c>
      <c r="F902" t="n">
        <v>0</v>
      </c>
      <c r="G902" s="10" t="n">
        <v>8280</v>
      </c>
      <c r="H902" t="n">
        <v>1</v>
      </c>
      <c r="I902" s="11">
        <f>C902-CGPA_Mean</f>
        <v/>
      </c>
      <c r="J902">
        <f>D902</f>
        <v/>
      </c>
      <c r="K902">
        <f>E902</f>
        <v/>
      </c>
      <c r="L902">
        <f>F902</f>
        <v/>
      </c>
      <c r="M902" s="11">
        <f>I902*K902</f>
        <v/>
      </c>
      <c r="N902" s="12">
        <f>LN(G902)</f>
        <v/>
      </c>
      <c r="O902" s="12">
        <f>H902*Beta_0+I902*Beta_1+J902*Beta_2+K902*Beta_3+L902*Beta_4+M902*Beta_5</f>
        <v/>
      </c>
      <c r="P902" s="12">
        <f>N902-O902</f>
        <v/>
      </c>
      <c r="Q902" s="13">
        <f>EXP(O902)*Smearing_Factor</f>
        <v/>
      </c>
    </row>
    <row r="903">
      <c r="A903" t="n">
        <v>902</v>
      </c>
      <c r="B903" t="inlineStr">
        <is>
          <t>Natural sciences, mathematics and statistics</t>
        </is>
      </c>
      <c r="C903" s="9" t="n">
        <v>3.87</v>
      </c>
      <c r="D903" t="n">
        <v>9</v>
      </c>
      <c r="E903" t="n">
        <v>1</v>
      </c>
      <c r="F903" t="n">
        <v>1</v>
      </c>
      <c r="G903" s="10" t="n">
        <v>4550</v>
      </c>
      <c r="H903" t="n">
        <v>1</v>
      </c>
      <c r="I903" s="11">
        <f>C903-CGPA_Mean</f>
        <v/>
      </c>
      <c r="J903">
        <f>D903</f>
        <v/>
      </c>
      <c r="K903">
        <f>E903</f>
        <v/>
      </c>
      <c r="L903">
        <f>F903</f>
        <v/>
      </c>
      <c r="M903" s="11">
        <f>I903*K903</f>
        <v/>
      </c>
      <c r="N903" s="12">
        <f>LN(G903)</f>
        <v/>
      </c>
      <c r="O903" s="12">
        <f>H903*Beta_0+I903*Beta_1+J903*Beta_2+K903*Beta_3+L903*Beta_4+M903*Beta_5</f>
        <v/>
      </c>
      <c r="P903" s="12">
        <f>N903-O903</f>
        <v/>
      </c>
      <c r="Q903" s="13">
        <f>EXP(O903)*Smearing_Factor</f>
        <v/>
      </c>
    </row>
    <row r="904">
      <c r="A904" t="n">
        <v>903</v>
      </c>
      <c r="B904" t="inlineStr">
        <is>
          <t>Business, administration and law</t>
        </is>
      </c>
      <c r="C904" s="9" t="n">
        <v>3.56</v>
      </c>
      <c r="D904" t="n">
        <v>6</v>
      </c>
      <c r="E904" t="n">
        <v>0</v>
      </c>
      <c r="F904" t="n">
        <v>1</v>
      </c>
      <c r="G904" s="10" t="n">
        <v>3560</v>
      </c>
      <c r="H904" t="n">
        <v>1</v>
      </c>
      <c r="I904" s="11">
        <f>C904-CGPA_Mean</f>
        <v/>
      </c>
      <c r="J904">
        <f>D904</f>
        <v/>
      </c>
      <c r="K904">
        <f>E904</f>
        <v/>
      </c>
      <c r="L904">
        <f>F904</f>
        <v/>
      </c>
      <c r="M904" s="11">
        <f>I904*K904</f>
        <v/>
      </c>
      <c r="N904" s="12">
        <f>LN(G904)</f>
        <v/>
      </c>
      <c r="O904" s="12">
        <f>H904*Beta_0+I904*Beta_1+J904*Beta_2+K904*Beta_3+L904*Beta_4+M904*Beta_5</f>
        <v/>
      </c>
      <c r="P904" s="12">
        <f>N904-O904</f>
        <v/>
      </c>
      <c r="Q904" s="13">
        <f>EXP(O904)*Smearing_Factor</f>
        <v/>
      </c>
    </row>
    <row r="905">
      <c r="A905" t="n">
        <v>904</v>
      </c>
      <c r="B905" t="inlineStr">
        <is>
          <t>Business, administration and law</t>
        </is>
      </c>
      <c r="C905" s="9" t="n">
        <v>3.61</v>
      </c>
      <c r="D905" t="n">
        <v>9</v>
      </c>
      <c r="E905" t="n">
        <v>0</v>
      </c>
      <c r="F905" t="n">
        <v>0</v>
      </c>
      <c r="G905" s="10" t="n">
        <v>1920</v>
      </c>
      <c r="H905" t="n">
        <v>1</v>
      </c>
      <c r="I905" s="11">
        <f>C905-CGPA_Mean</f>
        <v/>
      </c>
      <c r="J905">
        <f>D905</f>
        <v/>
      </c>
      <c r="K905">
        <f>E905</f>
        <v/>
      </c>
      <c r="L905">
        <f>F905</f>
        <v/>
      </c>
      <c r="M905" s="11">
        <f>I905*K905</f>
        <v/>
      </c>
      <c r="N905" s="12">
        <f>LN(G905)</f>
        <v/>
      </c>
      <c r="O905" s="12">
        <f>H905*Beta_0+I905*Beta_1+J905*Beta_2+K905*Beta_3+L905*Beta_4+M905*Beta_5</f>
        <v/>
      </c>
      <c r="P905" s="12">
        <f>N905-O905</f>
        <v/>
      </c>
      <c r="Q905" s="13">
        <f>EXP(O905)*Smearing_Factor</f>
        <v/>
      </c>
    </row>
    <row r="906">
      <c r="A906" t="n">
        <v>905</v>
      </c>
      <c r="B906" t="inlineStr">
        <is>
          <t>Business, administration and law</t>
        </is>
      </c>
      <c r="C906" s="9" t="n">
        <v>3.06</v>
      </c>
      <c r="D906" t="n">
        <v>6</v>
      </c>
      <c r="E906" t="n">
        <v>0</v>
      </c>
      <c r="F906" t="n">
        <v>1</v>
      </c>
      <c r="G906" s="10" t="n">
        <v>2350</v>
      </c>
      <c r="H906" t="n">
        <v>1</v>
      </c>
      <c r="I906" s="11">
        <f>C906-CGPA_Mean</f>
        <v/>
      </c>
      <c r="J906">
        <f>D906</f>
        <v/>
      </c>
      <c r="K906">
        <f>E906</f>
        <v/>
      </c>
      <c r="L906">
        <f>F906</f>
        <v/>
      </c>
      <c r="M906" s="11">
        <f>I906*K906</f>
        <v/>
      </c>
      <c r="N906" s="12">
        <f>LN(G906)</f>
        <v/>
      </c>
      <c r="O906" s="12">
        <f>H906*Beta_0+I906*Beta_1+J906*Beta_2+K906*Beta_3+L906*Beta_4+M906*Beta_5</f>
        <v/>
      </c>
      <c r="P906" s="12">
        <f>N906-O906</f>
        <v/>
      </c>
      <c r="Q906" s="13">
        <f>EXP(O906)*Smearing_Factor</f>
        <v/>
      </c>
    </row>
    <row r="907">
      <c r="A907" t="n">
        <v>906</v>
      </c>
      <c r="B907" t="inlineStr">
        <is>
          <t>Natural sciences, mathematics and statistics</t>
        </is>
      </c>
      <c r="C907" s="9" t="n">
        <v>3.97</v>
      </c>
      <c r="D907" t="n">
        <v>6</v>
      </c>
      <c r="E907" t="n">
        <v>1</v>
      </c>
      <c r="F907" t="n">
        <v>0</v>
      </c>
      <c r="G907" s="10" t="n">
        <v>2440</v>
      </c>
      <c r="H907" t="n">
        <v>1</v>
      </c>
      <c r="I907" s="11">
        <f>C907-CGPA_Mean</f>
        <v/>
      </c>
      <c r="J907">
        <f>D907</f>
        <v/>
      </c>
      <c r="K907">
        <f>E907</f>
        <v/>
      </c>
      <c r="L907">
        <f>F907</f>
        <v/>
      </c>
      <c r="M907" s="11">
        <f>I907*K907</f>
        <v/>
      </c>
      <c r="N907" s="12">
        <f>LN(G907)</f>
        <v/>
      </c>
      <c r="O907" s="12">
        <f>H907*Beta_0+I907*Beta_1+J907*Beta_2+K907*Beta_3+L907*Beta_4+M907*Beta_5</f>
        <v/>
      </c>
      <c r="P907" s="12">
        <f>N907-O907</f>
        <v/>
      </c>
      <c r="Q907" s="13">
        <f>EXP(O907)*Smearing_Factor</f>
        <v/>
      </c>
    </row>
    <row r="908">
      <c r="A908" t="n">
        <v>907</v>
      </c>
      <c r="B908" t="inlineStr">
        <is>
          <t>Engineering, manufacturing and construction</t>
        </is>
      </c>
      <c r="C908" s="9" t="n">
        <v>3.92</v>
      </c>
      <c r="D908" t="n">
        <v>6</v>
      </c>
      <c r="E908" t="n">
        <v>1</v>
      </c>
      <c r="F908" t="n">
        <v>1</v>
      </c>
      <c r="G908" s="10" t="n">
        <v>2970</v>
      </c>
      <c r="H908" t="n">
        <v>1</v>
      </c>
      <c r="I908" s="11">
        <f>C908-CGPA_Mean</f>
        <v/>
      </c>
      <c r="J908">
        <f>D908</f>
        <v/>
      </c>
      <c r="K908">
        <f>E908</f>
        <v/>
      </c>
      <c r="L908">
        <f>F908</f>
        <v/>
      </c>
      <c r="M908" s="11">
        <f>I908*K908</f>
        <v/>
      </c>
      <c r="N908" s="12">
        <f>LN(G908)</f>
        <v/>
      </c>
      <c r="O908" s="12">
        <f>H908*Beta_0+I908*Beta_1+J908*Beta_2+K908*Beta_3+L908*Beta_4+M908*Beta_5</f>
        <v/>
      </c>
      <c r="P908" s="12">
        <f>N908-O908</f>
        <v/>
      </c>
      <c r="Q908" s="13">
        <f>EXP(O908)*Smearing_Factor</f>
        <v/>
      </c>
    </row>
    <row r="909">
      <c r="A909" t="n">
        <v>908</v>
      </c>
      <c r="B909" t="inlineStr">
        <is>
          <t>Business, administration and law</t>
        </is>
      </c>
      <c r="C909" s="9" t="n">
        <v>3.01</v>
      </c>
      <c r="D909" t="n">
        <v>3</v>
      </c>
      <c r="E909" t="n">
        <v>0</v>
      </c>
      <c r="F909" t="n">
        <v>0</v>
      </c>
      <c r="G909" s="10" t="n">
        <v>4460</v>
      </c>
      <c r="H909" t="n">
        <v>1</v>
      </c>
      <c r="I909" s="11">
        <f>C909-CGPA_Mean</f>
        <v/>
      </c>
      <c r="J909">
        <f>D909</f>
        <v/>
      </c>
      <c r="K909">
        <f>E909</f>
        <v/>
      </c>
      <c r="L909">
        <f>F909</f>
        <v/>
      </c>
      <c r="M909" s="11">
        <f>I909*K909</f>
        <v/>
      </c>
      <c r="N909" s="12">
        <f>LN(G909)</f>
        <v/>
      </c>
      <c r="O909" s="12">
        <f>H909*Beta_0+I909*Beta_1+J909*Beta_2+K909*Beta_3+L909*Beta_4+M909*Beta_5</f>
        <v/>
      </c>
      <c r="P909" s="12">
        <f>N909-O909</f>
        <v/>
      </c>
      <c r="Q909" s="13">
        <f>EXP(O909)*Smearing_Factor</f>
        <v/>
      </c>
    </row>
    <row r="910">
      <c r="A910" t="n">
        <v>909</v>
      </c>
      <c r="B910" t="inlineStr">
        <is>
          <t>Social sciences, journalism and information</t>
        </is>
      </c>
      <c r="C910" s="9" t="n">
        <v>2.96</v>
      </c>
      <c r="D910" t="n">
        <v>3</v>
      </c>
      <c r="E910" t="n">
        <v>0</v>
      </c>
      <c r="F910" t="n">
        <v>1</v>
      </c>
      <c r="G910" s="10" t="n">
        <v>900</v>
      </c>
      <c r="H910" t="n">
        <v>1</v>
      </c>
      <c r="I910" s="11">
        <f>C910-CGPA_Mean</f>
        <v/>
      </c>
      <c r="J910">
        <f>D910</f>
        <v/>
      </c>
      <c r="K910">
        <f>E910</f>
        <v/>
      </c>
      <c r="L910">
        <f>F910</f>
        <v/>
      </c>
      <c r="M910" s="11">
        <f>I910*K910</f>
        <v/>
      </c>
      <c r="N910" s="12">
        <f>LN(G910)</f>
        <v/>
      </c>
      <c r="O910" s="12">
        <f>H910*Beta_0+I910*Beta_1+J910*Beta_2+K910*Beta_3+L910*Beta_4+M910*Beta_5</f>
        <v/>
      </c>
      <c r="P910" s="12">
        <f>N910-O910</f>
        <v/>
      </c>
      <c r="Q910" s="13">
        <f>EXP(O910)*Smearing_Factor</f>
        <v/>
      </c>
    </row>
    <row r="911">
      <c r="A911" t="n">
        <v>910</v>
      </c>
      <c r="B911" t="inlineStr">
        <is>
          <t>Information and communication technologies</t>
        </is>
      </c>
      <c r="C911" s="9" t="n">
        <v>3.37</v>
      </c>
      <c r="D911" t="n">
        <v>6</v>
      </c>
      <c r="E911" t="n">
        <v>1</v>
      </c>
      <c r="F911" t="n">
        <v>1</v>
      </c>
      <c r="G911" s="10" t="n">
        <v>4380</v>
      </c>
      <c r="H911" t="n">
        <v>1</v>
      </c>
      <c r="I911" s="11">
        <f>C911-CGPA_Mean</f>
        <v/>
      </c>
      <c r="J911">
        <f>D911</f>
        <v/>
      </c>
      <c r="K911">
        <f>E911</f>
        <v/>
      </c>
      <c r="L911">
        <f>F911</f>
        <v/>
      </c>
      <c r="M911" s="11">
        <f>I911*K911</f>
        <v/>
      </c>
      <c r="N911" s="12">
        <f>LN(G911)</f>
        <v/>
      </c>
      <c r="O911" s="12">
        <f>H911*Beta_0+I911*Beta_1+J911*Beta_2+K911*Beta_3+L911*Beta_4+M911*Beta_5</f>
        <v/>
      </c>
      <c r="P911" s="12">
        <f>N911-O911</f>
        <v/>
      </c>
      <c r="Q911" s="13">
        <f>EXP(O911)*Smearing_Factor</f>
        <v/>
      </c>
    </row>
    <row r="912">
      <c r="A912" t="n">
        <v>911</v>
      </c>
      <c r="B912" t="inlineStr">
        <is>
          <t>Services</t>
        </is>
      </c>
      <c r="C912" s="9" t="n">
        <v>3.83</v>
      </c>
      <c r="D912" t="n">
        <v>6</v>
      </c>
      <c r="E912" t="n">
        <v>0</v>
      </c>
      <c r="F912" t="n">
        <v>0</v>
      </c>
      <c r="G912" s="10" t="n">
        <v>7990</v>
      </c>
      <c r="H912" t="n">
        <v>1</v>
      </c>
      <c r="I912" s="11">
        <f>C912-CGPA_Mean</f>
        <v/>
      </c>
      <c r="J912">
        <f>D912</f>
        <v/>
      </c>
      <c r="K912">
        <f>E912</f>
        <v/>
      </c>
      <c r="L912">
        <f>F912</f>
        <v/>
      </c>
      <c r="M912" s="11">
        <f>I912*K912</f>
        <v/>
      </c>
      <c r="N912" s="12">
        <f>LN(G912)</f>
        <v/>
      </c>
      <c r="O912" s="12">
        <f>H912*Beta_0+I912*Beta_1+J912*Beta_2+K912*Beta_3+L912*Beta_4+M912*Beta_5</f>
        <v/>
      </c>
      <c r="P912" s="12">
        <f>N912-O912</f>
        <v/>
      </c>
      <c r="Q912" s="13">
        <f>EXP(O912)*Smearing_Factor</f>
        <v/>
      </c>
    </row>
    <row r="913">
      <c r="A913" t="n">
        <v>912</v>
      </c>
      <c r="B913" t="inlineStr">
        <is>
          <t>Engineering, manufacturing and construction</t>
        </is>
      </c>
      <c r="C913" s="9" t="n">
        <v>3.98</v>
      </c>
      <c r="D913" t="n">
        <v>6</v>
      </c>
      <c r="E913" t="n">
        <v>1</v>
      </c>
      <c r="F913" t="n">
        <v>1</v>
      </c>
      <c r="G913" s="10" t="n">
        <v>3670</v>
      </c>
      <c r="H913" t="n">
        <v>1</v>
      </c>
      <c r="I913" s="11">
        <f>C913-CGPA_Mean</f>
        <v/>
      </c>
      <c r="J913">
        <f>D913</f>
        <v/>
      </c>
      <c r="K913">
        <f>E913</f>
        <v/>
      </c>
      <c r="L913">
        <f>F913</f>
        <v/>
      </c>
      <c r="M913" s="11">
        <f>I913*K913</f>
        <v/>
      </c>
      <c r="N913" s="12">
        <f>LN(G913)</f>
        <v/>
      </c>
      <c r="O913" s="12">
        <f>H913*Beta_0+I913*Beta_1+J913*Beta_2+K913*Beta_3+L913*Beta_4+M913*Beta_5</f>
        <v/>
      </c>
      <c r="P913" s="12">
        <f>N913-O913</f>
        <v/>
      </c>
      <c r="Q913" s="13">
        <f>EXP(O913)*Smearing_Factor</f>
        <v/>
      </c>
    </row>
    <row r="914">
      <c r="A914" t="n">
        <v>913</v>
      </c>
      <c r="B914" t="inlineStr">
        <is>
          <t>Business, administration and law</t>
        </is>
      </c>
      <c r="C914" s="9" t="n">
        <v>3.55</v>
      </c>
      <c r="D914" t="n">
        <v>9</v>
      </c>
      <c r="E914" t="n">
        <v>0</v>
      </c>
      <c r="F914" t="n">
        <v>0</v>
      </c>
      <c r="G914" s="10" t="n">
        <v>2740</v>
      </c>
      <c r="H914" t="n">
        <v>1</v>
      </c>
      <c r="I914" s="11">
        <f>C914-CGPA_Mean</f>
        <v/>
      </c>
      <c r="J914">
        <f>D914</f>
        <v/>
      </c>
      <c r="K914">
        <f>E914</f>
        <v/>
      </c>
      <c r="L914">
        <f>F914</f>
        <v/>
      </c>
      <c r="M914" s="11">
        <f>I914*K914</f>
        <v/>
      </c>
      <c r="N914" s="12">
        <f>LN(G914)</f>
        <v/>
      </c>
      <c r="O914" s="12">
        <f>H914*Beta_0+I914*Beta_1+J914*Beta_2+K914*Beta_3+L914*Beta_4+M914*Beta_5</f>
        <v/>
      </c>
      <c r="P914" s="12">
        <f>N914-O914</f>
        <v/>
      </c>
      <c r="Q914" s="13">
        <f>EXP(O914)*Smearing_Factor</f>
        <v/>
      </c>
    </row>
    <row r="915">
      <c r="A915" t="n">
        <v>914</v>
      </c>
      <c r="B915" t="inlineStr">
        <is>
          <t>Information and communication technologies</t>
        </is>
      </c>
      <c r="C915" s="9" t="n">
        <v>2.82</v>
      </c>
      <c r="D915" t="n">
        <v>6</v>
      </c>
      <c r="E915" t="n">
        <v>1</v>
      </c>
      <c r="F915" t="n">
        <v>0</v>
      </c>
      <c r="G915" s="10" t="n">
        <v>700</v>
      </c>
      <c r="H915" t="n">
        <v>1</v>
      </c>
      <c r="I915" s="11">
        <f>C915-CGPA_Mean</f>
        <v/>
      </c>
      <c r="J915">
        <f>D915</f>
        <v/>
      </c>
      <c r="K915">
        <f>E915</f>
        <v/>
      </c>
      <c r="L915">
        <f>F915</f>
        <v/>
      </c>
      <c r="M915" s="11">
        <f>I915*K915</f>
        <v/>
      </c>
      <c r="N915" s="12">
        <f>LN(G915)</f>
        <v/>
      </c>
      <c r="O915" s="12">
        <f>H915*Beta_0+I915*Beta_1+J915*Beta_2+K915*Beta_3+L915*Beta_4+M915*Beta_5</f>
        <v/>
      </c>
      <c r="P915" s="12">
        <f>N915-O915</f>
        <v/>
      </c>
      <c r="Q915" s="13">
        <f>EXP(O915)*Smearing_Factor</f>
        <v/>
      </c>
    </row>
    <row r="916">
      <c r="A916" t="n">
        <v>915</v>
      </c>
      <c r="B916" t="inlineStr">
        <is>
          <t>Health and welfare</t>
        </is>
      </c>
      <c r="C916" s="9" t="n">
        <v>3.25</v>
      </c>
      <c r="D916" t="n">
        <v>3</v>
      </c>
      <c r="E916" t="n">
        <v>0</v>
      </c>
      <c r="F916" t="n">
        <v>0</v>
      </c>
      <c r="G916" s="10" t="n">
        <v>2330</v>
      </c>
      <c r="H916" t="n">
        <v>1</v>
      </c>
      <c r="I916" s="11">
        <f>C916-CGPA_Mean</f>
        <v/>
      </c>
      <c r="J916">
        <f>D916</f>
        <v/>
      </c>
      <c r="K916">
        <f>E916</f>
        <v/>
      </c>
      <c r="L916">
        <f>F916</f>
        <v/>
      </c>
      <c r="M916" s="11">
        <f>I916*K916</f>
        <v/>
      </c>
      <c r="N916" s="12">
        <f>LN(G916)</f>
        <v/>
      </c>
      <c r="O916" s="12">
        <f>H916*Beta_0+I916*Beta_1+J916*Beta_2+K916*Beta_3+L916*Beta_4+M916*Beta_5</f>
        <v/>
      </c>
      <c r="P916" s="12">
        <f>N916-O916</f>
        <v/>
      </c>
      <c r="Q916" s="13">
        <f>EXP(O916)*Smearing_Factor</f>
        <v/>
      </c>
    </row>
    <row r="917">
      <c r="A917" t="n">
        <v>916</v>
      </c>
      <c r="B917" t="inlineStr">
        <is>
          <t>Social sciences, journalism and information</t>
        </is>
      </c>
      <c r="C917" s="9" t="n">
        <v>3.07</v>
      </c>
      <c r="D917" t="n">
        <v>6</v>
      </c>
      <c r="E917" t="n">
        <v>0</v>
      </c>
      <c r="F917" t="n">
        <v>0</v>
      </c>
      <c r="G917" s="10" t="n">
        <v>3280</v>
      </c>
      <c r="H917" t="n">
        <v>1</v>
      </c>
      <c r="I917" s="11">
        <f>C917-CGPA_Mean</f>
        <v/>
      </c>
      <c r="J917">
        <f>D917</f>
        <v/>
      </c>
      <c r="K917">
        <f>E917</f>
        <v/>
      </c>
      <c r="L917">
        <f>F917</f>
        <v/>
      </c>
      <c r="M917" s="11">
        <f>I917*K917</f>
        <v/>
      </c>
      <c r="N917" s="12">
        <f>LN(G917)</f>
        <v/>
      </c>
      <c r="O917" s="12">
        <f>H917*Beta_0+I917*Beta_1+J917*Beta_2+K917*Beta_3+L917*Beta_4+M917*Beta_5</f>
        <v/>
      </c>
      <c r="P917" s="12">
        <f>N917-O917</f>
        <v/>
      </c>
      <c r="Q917" s="13">
        <f>EXP(O917)*Smearing_Factor</f>
        <v/>
      </c>
    </row>
    <row r="918">
      <c r="A918" t="n">
        <v>917</v>
      </c>
      <c r="B918" t="inlineStr">
        <is>
          <t>Health and welfare</t>
        </is>
      </c>
      <c r="C918" s="9" t="n">
        <v>3.85</v>
      </c>
      <c r="D918" t="n">
        <v>6</v>
      </c>
      <c r="E918" t="n">
        <v>0</v>
      </c>
      <c r="F918" t="n">
        <v>0</v>
      </c>
      <c r="G918" s="10" t="n">
        <v>3120</v>
      </c>
      <c r="H918" t="n">
        <v>1</v>
      </c>
      <c r="I918" s="11">
        <f>C918-CGPA_Mean</f>
        <v/>
      </c>
      <c r="J918">
        <f>D918</f>
        <v/>
      </c>
      <c r="K918">
        <f>E918</f>
        <v/>
      </c>
      <c r="L918">
        <f>F918</f>
        <v/>
      </c>
      <c r="M918" s="11">
        <f>I918*K918</f>
        <v/>
      </c>
      <c r="N918" s="12">
        <f>LN(G918)</f>
        <v/>
      </c>
      <c r="O918" s="12">
        <f>H918*Beta_0+I918*Beta_1+J918*Beta_2+K918*Beta_3+L918*Beta_4+M918*Beta_5</f>
        <v/>
      </c>
      <c r="P918" s="12">
        <f>N918-O918</f>
        <v/>
      </c>
      <c r="Q918" s="13">
        <f>EXP(O918)*Smearing_Factor</f>
        <v/>
      </c>
    </row>
    <row r="919">
      <c r="A919" t="n">
        <v>918</v>
      </c>
      <c r="B919" t="inlineStr">
        <is>
          <t>Engineering, manufacturing and construction</t>
        </is>
      </c>
      <c r="C919" s="9" t="n">
        <v>3.12</v>
      </c>
      <c r="D919" t="n">
        <v>3</v>
      </c>
      <c r="E919" t="n">
        <v>1</v>
      </c>
      <c r="F919" t="n">
        <v>1</v>
      </c>
      <c r="G919" s="10" t="n">
        <v>2030</v>
      </c>
      <c r="H919" t="n">
        <v>1</v>
      </c>
      <c r="I919" s="11">
        <f>C919-CGPA_Mean</f>
        <v/>
      </c>
      <c r="J919">
        <f>D919</f>
        <v/>
      </c>
      <c r="K919">
        <f>E919</f>
        <v/>
      </c>
      <c r="L919">
        <f>F919</f>
        <v/>
      </c>
      <c r="M919" s="11">
        <f>I919*K919</f>
        <v/>
      </c>
      <c r="N919" s="12">
        <f>LN(G919)</f>
        <v/>
      </c>
      <c r="O919" s="12">
        <f>H919*Beta_0+I919*Beta_1+J919*Beta_2+K919*Beta_3+L919*Beta_4+M919*Beta_5</f>
        <v/>
      </c>
      <c r="P919" s="12">
        <f>N919-O919</f>
        <v/>
      </c>
      <c r="Q919" s="13">
        <f>EXP(O919)*Smearing_Factor</f>
        <v/>
      </c>
    </row>
    <row r="920">
      <c r="A920" t="n">
        <v>919</v>
      </c>
      <c r="B920" t="inlineStr">
        <is>
          <t>Information and communication technologies</t>
        </is>
      </c>
      <c r="C920" s="9" t="n">
        <v>2.77</v>
      </c>
      <c r="D920" t="n">
        <v>6</v>
      </c>
      <c r="E920" t="n">
        <v>1</v>
      </c>
      <c r="F920" t="n">
        <v>1</v>
      </c>
      <c r="G920" s="10" t="n">
        <v>3240</v>
      </c>
      <c r="H920" t="n">
        <v>1</v>
      </c>
      <c r="I920" s="11">
        <f>C920-CGPA_Mean</f>
        <v/>
      </c>
      <c r="J920">
        <f>D920</f>
        <v/>
      </c>
      <c r="K920">
        <f>E920</f>
        <v/>
      </c>
      <c r="L920">
        <f>F920</f>
        <v/>
      </c>
      <c r="M920" s="11">
        <f>I920*K920</f>
        <v/>
      </c>
      <c r="N920" s="12">
        <f>LN(G920)</f>
        <v/>
      </c>
      <c r="O920" s="12">
        <f>H920*Beta_0+I920*Beta_1+J920*Beta_2+K920*Beta_3+L920*Beta_4+M920*Beta_5</f>
        <v/>
      </c>
      <c r="P920" s="12">
        <f>N920-O920</f>
        <v/>
      </c>
      <c r="Q920" s="13">
        <f>EXP(O920)*Smearing_Factor</f>
        <v/>
      </c>
    </row>
    <row r="921">
      <c r="A921" t="n">
        <v>920</v>
      </c>
      <c r="B921" t="inlineStr">
        <is>
          <t>Natural sciences, mathematics and statistics</t>
        </is>
      </c>
      <c r="C921" s="9" t="n">
        <v>2.69</v>
      </c>
      <c r="D921" t="n">
        <v>9</v>
      </c>
      <c r="E921" t="n">
        <v>1</v>
      </c>
      <c r="F921" t="n">
        <v>1</v>
      </c>
      <c r="G921" s="10" t="n">
        <v>3610</v>
      </c>
      <c r="H921" t="n">
        <v>1</v>
      </c>
      <c r="I921" s="11">
        <f>C921-CGPA_Mean</f>
        <v/>
      </c>
      <c r="J921">
        <f>D921</f>
        <v/>
      </c>
      <c r="K921">
        <f>E921</f>
        <v/>
      </c>
      <c r="L921">
        <f>F921</f>
        <v/>
      </c>
      <c r="M921" s="11">
        <f>I921*K921</f>
        <v/>
      </c>
      <c r="N921" s="12">
        <f>LN(G921)</f>
        <v/>
      </c>
      <c r="O921" s="12">
        <f>H921*Beta_0+I921*Beta_1+J921*Beta_2+K921*Beta_3+L921*Beta_4+M921*Beta_5</f>
        <v/>
      </c>
      <c r="P921" s="12">
        <f>N921-O921</f>
        <v/>
      </c>
      <c r="Q921" s="13">
        <f>EXP(O921)*Smearing_Factor</f>
        <v/>
      </c>
    </row>
    <row r="922">
      <c r="A922" t="n">
        <v>921</v>
      </c>
      <c r="B922" t="inlineStr">
        <is>
          <t>Information and communication technologies</t>
        </is>
      </c>
      <c r="C922" s="9" t="n">
        <v>3.16</v>
      </c>
      <c r="D922" t="n">
        <v>6</v>
      </c>
      <c r="E922" t="n">
        <v>1</v>
      </c>
      <c r="F922" t="n">
        <v>1</v>
      </c>
      <c r="G922" s="10" t="n">
        <v>3560</v>
      </c>
      <c r="H922" t="n">
        <v>1</v>
      </c>
      <c r="I922" s="11">
        <f>C922-CGPA_Mean</f>
        <v/>
      </c>
      <c r="J922">
        <f>D922</f>
        <v/>
      </c>
      <c r="K922">
        <f>E922</f>
        <v/>
      </c>
      <c r="L922">
        <f>F922</f>
        <v/>
      </c>
      <c r="M922" s="11">
        <f>I922*K922</f>
        <v/>
      </c>
      <c r="N922" s="12">
        <f>LN(G922)</f>
        <v/>
      </c>
      <c r="O922" s="12">
        <f>H922*Beta_0+I922*Beta_1+J922*Beta_2+K922*Beta_3+L922*Beta_4+M922*Beta_5</f>
        <v/>
      </c>
      <c r="P922" s="12">
        <f>N922-O922</f>
        <v/>
      </c>
      <c r="Q922" s="13">
        <f>EXP(O922)*Smearing_Factor</f>
        <v/>
      </c>
    </row>
    <row r="923">
      <c r="A923" t="n">
        <v>922</v>
      </c>
      <c r="B923" t="inlineStr">
        <is>
          <t>Business, administration and law</t>
        </is>
      </c>
      <c r="C923" s="9" t="n">
        <v>3.12</v>
      </c>
      <c r="D923" t="n">
        <v>9</v>
      </c>
      <c r="E923" t="n">
        <v>0</v>
      </c>
      <c r="F923" t="n">
        <v>0</v>
      </c>
      <c r="G923" s="10" t="n">
        <v>5320</v>
      </c>
      <c r="H923" t="n">
        <v>1</v>
      </c>
      <c r="I923" s="11">
        <f>C923-CGPA_Mean</f>
        <v/>
      </c>
      <c r="J923">
        <f>D923</f>
        <v/>
      </c>
      <c r="K923">
        <f>E923</f>
        <v/>
      </c>
      <c r="L923">
        <f>F923</f>
        <v/>
      </c>
      <c r="M923" s="11">
        <f>I923*K923</f>
        <v/>
      </c>
      <c r="N923" s="12">
        <f>LN(G923)</f>
        <v/>
      </c>
      <c r="O923" s="12">
        <f>H923*Beta_0+I923*Beta_1+J923*Beta_2+K923*Beta_3+L923*Beta_4+M923*Beta_5</f>
        <v/>
      </c>
      <c r="P923" s="12">
        <f>N923-O923</f>
        <v/>
      </c>
      <c r="Q923" s="13">
        <f>EXP(O923)*Smearing_Factor</f>
        <v/>
      </c>
    </row>
    <row r="924">
      <c r="A924" t="n">
        <v>923</v>
      </c>
      <c r="B924" t="inlineStr">
        <is>
          <t>Arts and humanities</t>
        </is>
      </c>
      <c r="C924" s="9" t="n">
        <v>3.11</v>
      </c>
      <c r="D924" t="n">
        <v>3</v>
      </c>
      <c r="E924" t="n">
        <v>0</v>
      </c>
      <c r="F924" t="n">
        <v>1</v>
      </c>
      <c r="G924" s="10" t="n">
        <v>2020</v>
      </c>
      <c r="H924" t="n">
        <v>1</v>
      </c>
      <c r="I924" s="11">
        <f>C924-CGPA_Mean</f>
        <v/>
      </c>
      <c r="J924">
        <f>D924</f>
        <v/>
      </c>
      <c r="K924">
        <f>E924</f>
        <v/>
      </c>
      <c r="L924">
        <f>F924</f>
        <v/>
      </c>
      <c r="M924" s="11">
        <f>I924*K924</f>
        <v/>
      </c>
      <c r="N924" s="12">
        <f>LN(G924)</f>
        <v/>
      </c>
      <c r="O924" s="12">
        <f>H924*Beta_0+I924*Beta_1+J924*Beta_2+K924*Beta_3+L924*Beta_4+M924*Beta_5</f>
        <v/>
      </c>
      <c r="P924" s="12">
        <f>N924-O924</f>
        <v/>
      </c>
      <c r="Q924" s="13">
        <f>EXP(O924)*Smearing_Factor</f>
        <v/>
      </c>
    </row>
    <row r="925">
      <c r="A925" t="n">
        <v>924</v>
      </c>
      <c r="B925" t="inlineStr">
        <is>
          <t>Social sciences, journalism and information</t>
        </is>
      </c>
      <c r="C925" s="9" t="n">
        <v>3.35</v>
      </c>
      <c r="D925" t="n">
        <v>6</v>
      </c>
      <c r="E925" t="n">
        <v>0</v>
      </c>
      <c r="F925" t="n">
        <v>1</v>
      </c>
      <c r="G925" s="10" t="n">
        <v>2790</v>
      </c>
      <c r="H925" t="n">
        <v>1</v>
      </c>
      <c r="I925" s="11">
        <f>C925-CGPA_Mean</f>
        <v/>
      </c>
      <c r="J925">
        <f>D925</f>
        <v/>
      </c>
      <c r="K925">
        <f>E925</f>
        <v/>
      </c>
      <c r="L925">
        <f>F925</f>
        <v/>
      </c>
      <c r="M925" s="11">
        <f>I925*K925</f>
        <v/>
      </c>
      <c r="N925" s="12">
        <f>LN(G925)</f>
        <v/>
      </c>
      <c r="O925" s="12">
        <f>H925*Beta_0+I925*Beta_1+J925*Beta_2+K925*Beta_3+L925*Beta_4+M925*Beta_5</f>
        <v/>
      </c>
      <c r="P925" s="12">
        <f>N925-O925</f>
        <v/>
      </c>
      <c r="Q925" s="13">
        <f>EXP(O925)*Smearing_Factor</f>
        <v/>
      </c>
    </row>
    <row r="926">
      <c r="A926" t="n">
        <v>925</v>
      </c>
      <c r="B926" t="inlineStr">
        <is>
          <t>Social sciences, journalism and information</t>
        </is>
      </c>
      <c r="C926" s="9" t="n">
        <v>2.97</v>
      </c>
      <c r="D926" t="n">
        <v>6</v>
      </c>
      <c r="E926" t="n">
        <v>0</v>
      </c>
      <c r="F926" t="n">
        <v>0</v>
      </c>
      <c r="G926" s="10" t="n">
        <v>1060</v>
      </c>
      <c r="H926" t="n">
        <v>1</v>
      </c>
      <c r="I926" s="11">
        <f>C926-CGPA_Mean</f>
        <v/>
      </c>
      <c r="J926">
        <f>D926</f>
        <v/>
      </c>
      <c r="K926">
        <f>E926</f>
        <v/>
      </c>
      <c r="L926">
        <f>F926</f>
        <v/>
      </c>
      <c r="M926" s="11">
        <f>I926*K926</f>
        <v/>
      </c>
      <c r="N926" s="12">
        <f>LN(G926)</f>
        <v/>
      </c>
      <c r="O926" s="12">
        <f>H926*Beta_0+I926*Beta_1+J926*Beta_2+K926*Beta_3+L926*Beta_4+M926*Beta_5</f>
        <v/>
      </c>
      <c r="P926" s="12">
        <f>N926-O926</f>
        <v/>
      </c>
      <c r="Q926" s="13">
        <f>EXP(O926)*Smearing_Factor</f>
        <v/>
      </c>
    </row>
    <row r="927">
      <c r="A927" t="n">
        <v>926</v>
      </c>
      <c r="B927" t="inlineStr">
        <is>
          <t>Natural sciences, mathematics and statistics</t>
        </is>
      </c>
      <c r="C927" s="9" t="n">
        <v>2.95</v>
      </c>
      <c r="D927" t="n">
        <v>6</v>
      </c>
      <c r="E927" t="n">
        <v>1</v>
      </c>
      <c r="F927" t="n">
        <v>0</v>
      </c>
      <c r="G927" s="10" t="n">
        <v>2460</v>
      </c>
      <c r="H927" t="n">
        <v>1</v>
      </c>
      <c r="I927" s="11">
        <f>C927-CGPA_Mean</f>
        <v/>
      </c>
      <c r="J927">
        <f>D927</f>
        <v/>
      </c>
      <c r="K927">
        <f>E927</f>
        <v/>
      </c>
      <c r="L927">
        <f>F927</f>
        <v/>
      </c>
      <c r="M927" s="11">
        <f>I927*K927</f>
        <v/>
      </c>
      <c r="N927" s="12">
        <f>LN(G927)</f>
        <v/>
      </c>
      <c r="O927" s="12">
        <f>H927*Beta_0+I927*Beta_1+J927*Beta_2+K927*Beta_3+L927*Beta_4+M927*Beta_5</f>
        <v/>
      </c>
      <c r="P927" s="12">
        <f>N927-O927</f>
        <v/>
      </c>
      <c r="Q927" s="13">
        <f>EXP(O927)*Smearing_Factor</f>
        <v/>
      </c>
    </row>
    <row r="928">
      <c r="A928" t="n">
        <v>927</v>
      </c>
      <c r="B928" t="inlineStr">
        <is>
          <t>Services</t>
        </is>
      </c>
      <c r="C928" s="9" t="n">
        <v>2.97</v>
      </c>
      <c r="D928" t="n">
        <v>6</v>
      </c>
      <c r="E928" t="n">
        <v>0</v>
      </c>
      <c r="F928" t="n">
        <v>0</v>
      </c>
      <c r="G928" s="10" t="n">
        <v>2280</v>
      </c>
      <c r="H928" t="n">
        <v>1</v>
      </c>
      <c r="I928" s="11">
        <f>C928-CGPA_Mean</f>
        <v/>
      </c>
      <c r="J928">
        <f>D928</f>
        <v/>
      </c>
      <c r="K928">
        <f>E928</f>
        <v/>
      </c>
      <c r="L928">
        <f>F928</f>
        <v/>
      </c>
      <c r="M928" s="11">
        <f>I928*K928</f>
        <v/>
      </c>
      <c r="N928" s="12">
        <f>LN(G928)</f>
        <v/>
      </c>
      <c r="O928" s="12">
        <f>H928*Beta_0+I928*Beta_1+J928*Beta_2+K928*Beta_3+L928*Beta_4+M928*Beta_5</f>
        <v/>
      </c>
      <c r="P928" s="12">
        <f>N928-O928</f>
        <v/>
      </c>
      <c r="Q928" s="13">
        <f>EXP(O928)*Smearing_Factor</f>
        <v/>
      </c>
    </row>
    <row r="929">
      <c r="A929" t="n">
        <v>928</v>
      </c>
      <c r="B929" t="inlineStr">
        <is>
          <t>Health and welfare</t>
        </is>
      </c>
      <c r="C929" s="9" t="n">
        <v>3.13</v>
      </c>
      <c r="D929" t="n">
        <v>3</v>
      </c>
      <c r="E929" t="n">
        <v>0</v>
      </c>
      <c r="F929" t="n">
        <v>0</v>
      </c>
      <c r="G929" s="10" t="n">
        <v>850</v>
      </c>
      <c r="H929" t="n">
        <v>1</v>
      </c>
      <c r="I929" s="11">
        <f>C929-CGPA_Mean</f>
        <v/>
      </c>
      <c r="J929">
        <f>D929</f>
        <v/>
      </c>
      <c r="K929">
        <f>E929</f>
        <v/>
      </c>
      <c r="L929">
        <f>F929</f>
        <v/>
      </c>
      <c r="M929" s="11">
        <f>I929*K929</f>
        <v/>
      </c>
      <c r="N929" s="12">
        <f>LN(G929)</f>
        <v/>
      </c>
      <c r="O929" s="12">
        <f>H929*Beta_0+I929*Beta_1+J929*Beta_2+K929*Beta_3+L929*Beta_4+M929*Beta_5</f>
        <v/>
      </c>
      <c r="P929" s="12">
        <f>N929-O929</f>
        <v/>
      </c>
      <c r="Q929" s="13">
        <f>EXP(O929)*Smearing_Factor</f>
        <v/>
      </c>
    </row>
    <row r="930">
      <c r="A930" t="n">
        <v>929</v>
      </c>
      <c r="B930" t="inlineStr">
        <is>
          <t>Social sciences, journalism and information</t>
        </is>
      </c>
      <c r="C930" s="9" t="n">
        <v>3.2</v>
      </c>
      <c r="D930" t="n">
        <v>9</v>
      </c>
      <c r="E930" t="n">
        <v>0</v>
      </c>
      <c r="F930" t="n">
        <v>0</v>
      </c>
      <c r="G930" s="10" t="n">
        <v>2710</v>
      </c>
      <c r="H930" t="n">
        <v>1</v>
      </c>
      <c r="I930" s="11">
        <f>C930-CGPA_Mean</f>
        <v/>
      </c>
      <c r="J930">
        <f>D930</f>
        <v/>
      </c>
      <c r="K930">
        <f>E930</f>
        <v/>
      </c>
      <c r="L930">
        <f>F930</f>
        <v/>
      </c>
      <c r="M930" s="11">
        <f>I930*K930</f>
        <v/>
      </c>
      <c r="N930" s="12">
        <f>LN(G930)</f>
        <v/>
      </c>
      <c r="O930" s="12">
        <f>H930*Beta_0+I930*Beta_1+J930*Beta_2+K930*Beta_3+L930*Beta_4+M930*Beta_5</f>
        <v/>
      </c>
      <c r="P930" s="12">
        <f>N930-O930</f>
        <v/>
      </c>
      <c r="Q930" s="13">
        <f>EXP(O930)*Smearing_Factor</f>
        <v/>
      </c>
    </row>
    <row r="931">
      <c r="A931" t="n">
        <v>930</v>
      </c>
      <c r="B931" t="inlineStr">
        <is>
          <t>Business, administration and law</t>
        </is>
      </c>
      <c r="C931" s="9" t="n">
        <v>3.43</v>
      </c>
      <c r="D931" t="n">
        <v>6</v>
      </c>
      <c r="E931" t="n">
        <v>0</v>
      </c>
      <c r="F931" t="n">
        <v>1</v>
      </c>
      <c r="G931" s="10" t="n">
        <v>1670</v>
      </c>
      <c r="H931" t="n">
        <v>1</v>
      </c>
      <c r="I931" s="11">
        <f>C931-CGPA_Mean</f>
        <v/>
      </c>
      <c r="J931">
        <f>D931</f>
        <v/>
      </c>
      <c r="K931">
        <f>E931</f>
        <v/>
      </c>
      <c r="L931">
        <f>F931</f>
        <v/>
      </c>
      <c r="M931" s="11">
        <f>I931*K931</f>
        <v/>
      </c>
      <c r="N931" s="12">
        <f>LN(G931)</f>
        <v/>
      </c>
      <c r="O931" s="12">
        <f>H931*Beta_0+I931*Beta_1+J931*Beta_2+K931*Beta_3+L931*Beta_4+M931*Beta_5</f>
        <v/>
      </c>
      <c r="P931" s="12">
        <f>N931-O931</f>
        <v/>
      </c>
      <c r="Q931" s="13">
        <f>EXP(O931)*Smearing_Factor</f>
        <v/>
      </c>
    </row>
    <row r="932">
      <c r="A932" t="n">
        <v>931</v>
      </c>
      <c r="B932" t="inlineStr">
        <is>
          <t>Engineering, manufacturing and construction</t>
        </is>
      </c>
      <c r="C932" s="9" t="n">
        <v>3.07</v>
      </c>
      <c r="D932" t="n">
        <v>9</v>
      </c>
      <c r="E932" t="n">
        <v>1</v>
      </c>
      <c r="F932" t="n">
        <v>0</v>
      </c>
      <c r="G932" s="10" t="n">
        <v>3970</v>
      </c>
      <c r="H932" t="n">
        <v>1</v>
      </c>
      <c r="I932" s="11">
        <f>C932-CGPA_Mean</f>
        <v/>
      </c>
      <c r="J932">
        <f>D932</f>
        <v/>
      </c>
      <c r="K932">
        <f>E932</f>
        <v/>
      </c>
      <c r="L932">
        <f>F932</f>
        <v/>
      </c>
      <c r="M932" s="11">
        <f>I932*K932</f>
        <v/>
      </c>
      <c r="N932" s="12">
        <f>LN(G932)</f>
        <v/>
      </c>
      <c r="O932" s="12">
        <f>H932*Beta_0+I932*Beta_1+J932*Beta_2+K932*Beta_3+L932*Beta_4+M932*Beta_5</f>
        <v/>
      </c>
      <c r="P932" s="12">
        <f>N932-O932</f>
        <v/>
      </c>
      <c r="Q932" s="13">
        <f>EXP(O932)*Smearing_Factor</f>
        <v/>
      </c>
    </row>
    <row r="933">
      <c r="A933" t="n">
        <v>932</v>
      </c>
      <c r="B933" t="inlineStr">
        <is>
          <t>Business, administration and law</t>
        </is>
      </c>
      <c r="C933" s="9" t="n">
        <v>3.09</v>
      </c>
      <c r="D933" t="n">
        <v>6</v>
      </c>
      <c r="E933" t="n">
        <v>0</v>
      </c>
      <c r="F933" t="n">
        <v>1</v>
      </c>
      <c r="G933" s="10" t="n">
        <v>1890</v>
      </c>
      <c r="H933" t="n">
        <v>1</v>
      </c>
      <c r="I933" s="11">
        <f>C933-CGPA_Mean</f>
        <v/>
      </c>
      <c r="J933">
        <f>D933</f>
        <v/>
      </c>
      <c r="K933">
        <f>E933</f>
        <v/>
      </c>
      <c r="L933">
        <f>F933</f>
        <v/>
      </c>
      <c r="M933" s="11">
        <f>I933*K933</f>
        <v/>
      </c>
      <c r="N933" s="12">
        <f>LN(G933)</f>
        <v/>
      </c>
      <c r="O933" s="12">
        <f>H933*Beta_0+I933*Beta_1+J933*Beta_2+K933*Beta_3+L933*Beta_4+M933*Beta_5</f>
        <v/>
      </c>
      <c r="P933" s="12">
        <f>N933-O933</f>
        <v/>
      </c>
      <c r="Q933" s="13">
        <f>EXP(O933)*Smearing_Factor</f>
        <v/>
      </c>
    </row>
    <row r="934">
      <c r="A934" t="n">
        <v>933</v>
      </c>
      <c r="B934" t="inlineStr">
        <is>
          <t>Business, administration and law</t>
        </is>
      </c>
      <c r="C934" s="9" t="n">
        <v>2.56</v>
      </c>
      <c r="D934" t="n">
        <v>6</v>
      </c>
      <c r="E934" t="n">
        <v>0</v>
      </c>
      <c r="F934" t="n">
        <v>0</v>
      </c>
      <c r="G934" s="10" t="n">
        <v>2670</v>
      </c>
      <c r="H934" t="n">
        <v>1</v>
      </c>
      <c r="I934" s="11">
        <f>C934-CGPA_Mean</f>
        <v/>
      </c>
      <c r="J934">
        <f>D934</f>
        <v/>
      </c>
      <c r="K934">
        <f>E934</f>
        <v/>
      </c>
      <c r="L934">
        <f>F934</f>
        <v/>
      </c>
      <c r="M934" s="11">
        <f>I934*K934</f>
        <v/>
      </c>
      <c r="N934" s="12">
        <f>LN(G934)</f>
        <v/>
      </c>
      <c r="O934" s="12">
        <f>H934*Beta_0+I934*Beta_1+J934*Beta_2+K934*Beta_3+L934*Beta_4+M934*Beta_5</f>
        <v/>
      </c>
      <c r="P934" s="12">
        <f>N934-O934</f>
        <v/>
      </c>
      <c r="Q934" s="13">
        <f>EXP(O934)*Smearing_Factor</f>
        <v/>
      </c>
    </row>
    <row r="935">
      <c r="A935" t="n">
        <v>934</v>
      </c>
      <c r="B935" t="inlineStr">
        <is>
          <t>Education</t>
        </is>
      </c>
      <c r="C935" s="9" t="n">
        <v>3.27</v>
      </c>
      <c r="D935" t="n">
        <v>3</v>
      </c>
      <c r="E935" t="n">
        <v>0</v>
      </c>
      <c r="F935" t="n">
        <v>0</v>
      </c>
      <c r="G935" s="10" t="n">
        <v>1780</v>
      </c>
      <c r="H935" t="n">
        <v>1</v>
      </c>
      <c r="I935" s="11">
        <f>C935-CGPA_Mean</f>
        <v/>
      </c>
      <c r="J935">
        <f>D935</f>
        <v/>
      </c>
      <c r="K935">
        <f>E935</f>
        <v/>
      </c>
      <c r="L935">
        <f>F935</f>
        <v/>
      </c>
      <c r="M935" s="11">
        <f>I935*K935</f>
        <v/>
      </c>
      <c r="N935" s="12">
        <f>LN(G935)</f>
        <v/>
      </c>
      <c r="O935" s="12">
        <f>H935*Beta_0+I935*Beta_1+J935*Beta_2+K935*Beta_3+L935*Beta_4+M935*Beta_5</f>
        <v/>
      </c>
      <c r="P935" s="12">
        <f>N935-O935</f>
        <v/>
      </c>
      <c r="Q935" s="13">
        <f>EXP(O935)*Smearing_Factor</f>
        <v/>
      </c>
    </row>
    <row r="936">
      <c r="A936" t="n">
        <v>935</v>
      </c>
      <c r="B936" t="inlineStr">
        <is>
          <t>Natural sciences, mathematics and statistics</t>
        </is>
      </c>
      <c r="C936" s="9" t="n">
        <v>3.51</v>
      </c>
      <c r="D936" t="n">
        <v>3</v>
      </c>
      <c r="E936" t="n">
        <v>1</v>
      </c>
      <c r="F936" t="n">
        <v>1</v>
      </c>
      <c r="G936" s="10" t="n">
        <v>2940</v>
      </c>
      <c r="H936" t="n">
        <v>1</v>
      </c>
      <c r="I936" s="11">
        <f>C936-CGPA_Mean</f>
        <v/>
      </c>
      <c r="J936">
        <f>D936</f>
        <v/>
      </c>
      <c r="K936">
        <f>E936</f>
        <v/>
      </c>
      <c r="L936">
        <f>F936</f>
        <v/>
      </c>
      <c r="M936" s="11">
        <f>I936*K936</f>
        <v/>
      </c>
      <c r="N936" s="12">
        <f>LN(G936)</f>
        <v/>
      </c>
      <c r="O936" s="12">
        <f>H936*Beta_0+I936*Beta_1+J936*Beta_2+K936*Beta_3+L936*Beta_4+M936*Beta_5</f>
        <v/>
      </c>
      <c r="P936" s="12">
        <f>N936-O936</f>
        <v/>
      </c>
      <c r="Q936" s="13">
        <f>EXP(O936)*Smearing_Factor</f>
        <v/>
      </c>
    </row>
    <row r="937">
      <c r="A937" t="n">
        <v>936</v>
      </c>
      <c r="B937" t="inlineStr">
        <is>
          <t>Business, administration and law</t>
        </is>
      </c>
      <c r="C937" s="9" t="n">
        <v>2.92</v>
      </c>
      <c r="D937" t="n">
        <v>6</v>
      </c>
      <c r="E937" t="n">
        <v>0</v>
      </c>
      <c r="F937" t="n">
        <v>0</v>
      </c>
      <c r="G937" s="10" t="n">
        <v>1070</v>
      </c>
      <c r="H937" t="n">
        <v>1</v>
      </c>
      <c r="I937" s="11">
        <f>C937-CGPA_Mean</f>
        <v/>
      </c>
      <c r="J937">
        <f>D937</f>
        <v/>
      </c>
      <c r="K937">
        <f>E937</f>
        <v/>
      </c>
      <c r="L937">
        <f>F937</f>
        <v/>
      </c>
      <c r="M937" s="11">
        <f>I937*K937</f>
        <v/>
      </c>
      <c r="N937" s="12">
        <f>LN(G937)</f>
        <v/>
      </c>
      <c r="O937" s="12">
        <f>H937*Beta_0+I937*Beta_1+J937*Beta_2+K937*Beta_3+L937*Beta_4+M937*Beta_5</f>
        <v/>
      </c>
      <c r="P937" s="12">
        <f>N937-O937</f>
        <v/>
      </c>
      <c r="Q937" s="13">
        <f>EXP(O937)*Smearing_Factor</f>
        <v/>
      </c>
    </row>
    <row r="938">
      <c r="A938" t="n">
        <v>937</v>
      </c>
      <c r="B938" t="inlineStr">
        <is>
          <t>Engineering, manufacturing and construction</t>
        </is>
      </c>
      <c r="C938" s="9" t="n">
        <v>3.46</v>
      </c>
      <c r="D938" t="n">
        <v>9</v>
      </c>
      <c r="E938" t="n">
        <v>1</v>
      </c>
      <c r="F938" t="n">
        <v>0</v>
      </c>
      <c r="G938" s="10" t="n">
        <v>2090</v>
      </c>
      <c r="H938" t="n">
        <v>1</v>
      </c>
      <c r="I938" s="11">
        <f>C938-CGPA_Mean</f>
        <v/>
      </c>
      <c r="J938">
        <f>D938</f>
        <v/>
      </c>
      <c r="K938">
        <f>E938</f>
        <v/>
      </c>
      <c r="L938">
        <f>F938</f>
        <v/>
      </c>
      <c r="M938" s="11">
        <f>I938*K938</f>
        <v/>
      </c>
      <c r="N938" s="12">
        <f>LN(G938)</f>
        <v/>
      </c>
      <c r="O938" s="12">
        <f>H938*Beta_0+I938*Beta_1+J938*Beta_2+K938*Beta_3+L938*Beta_4+M938*Beta_5</f>
        <v/>
      </c>
      <c r="P938" s="12">
        <f>N938-O938</f>
        <v/>
      </c>
      <c r="Q938" s="13">
        <f>EXP(O938)*Smearing_Factor</f>
        <v/>
      </c>
    </row>
    <row r="939">
      <c r="A939" t="n">
        <v>938</v>
      </c>
      <c r="B939" t="inlineStr">
        <is>
          <t>Information and communication technologies</t>
        </is>
      </c>
      <c r="C939" s="9" t="n">
        <v>3.39</v>
      </c>
      <c r="D939" t="n">
        <v>6</v>
      </c>
      <c r="E939" t="n">
        <v>1</v>
      </c>
      <c r="F939" t="n">
        <v>1</v>
      </c>
      <c r="G939" s="10" t="n">
        <v>3800</v>
      </c>
      <c r="H939" t="n">
        <v>1</v>
      </c>
      <c r="I939" s="11">
        <f>C939-CGPA_Mean</f>
        <v/>
      </c>
      <c r="J939">
        <f>D939</f>
        <v/>
      </c>
      <c r="K939">
        <f>E939</f>
        <v/>
      </c>
      <c r="L939">
        <f>F939</f>
        <v/>
      </c>
      <c r="M939" s="11">
        <f>I939*K939</f>
        <v/>
      </c>
      <c r="N939" s="12">
        <f>LN(G939)</f>
        <v/>
      </c>
      <c r="O939" s="12">
        <f>H939*Beta_0+I939*Beta_1+J939*Beta_2+K939*Beta_3+L939*Beta_4+M939*Beta_5</f>
        <v/>
      </c>
      <c r="P939" s="12">
        <f>N939-O939</f>
        <v/>
      </c>
      <c r="Q939" s="13">
        <f>EXP(O939)*Smearing_Factor</f>
        <v/>
      </c>
    </row>
    <row r="940">
      <c r="A940" t="n">
        <v>939</v>
      </c>
      <c r="B940" t="inlineStr">
        <is>
          <t>Business, administration and law</t>
        </is>
      </c>
      <c r="C940" s="9" t="n">
        <v>2.84</v>
      </c>
      <c r="D940" t="n">
        <v>3</v>
      </c>
      <c r="E940" t="n">
        <v>0</v>
      </c>
      <c r="F940" t="n">
        <v>1</v>
      </c>
      <c r="G940" s="10" t="n">
        <v>2020</v>
      </c>
      <c r="H940" t="n">
        <v>1</v>
      </c>
      <c r="I940" s="11">
        <f>C940-CGPA_Mean</f>
        <v/>
      </c>
      <c r="J940">
        <f>D940</f>
        <v/>
      </c>
      <c r="K940">
        <f>E940</f>
        <v/>
      </c>
      <c r="L940">
        <f>F940</f>
        <v/>
      </c>
      <c r="M940" s="11">
        <f>I940*K940</f>
        <v/>
      </c>
      <c r="N940" s="12">
        <f>LN(G940)</f>
        <v/>
      </c>
      <c r="O940" s="12">
        <f>H940*Beta_0+I940*Beta_1+J940*Beta_2+K940*Beta_3+L940*Beta_4+M940*Beta_5</f>
        <v/>
      </c>
      <c r="P940" s="12">
        <f>N940-O940</f>
        <v/>
      </c>
      <c r="Q940" s="13">
        <f>EXP(O940)*Smearing_Factor</f>
        <v/>
      </c>
    </row>
    <row r="941">
      <c r="A941" t="n">
        <v>940</v>
      </c>
      <c r="B941" t="inlineStr">
        <is>
          <t>Business, administration and law</t>
        </is>
      </c>
      <c r="C941" s="9" t="n">
        <v>3.32</v>
      </c>
      <c r="D941" t="n">
        <v>6</v>
      </c>
      <c r="E941" t="n">
        <v>0</v>
      </c>
      <c r="F941" t="n">
        <v>0</v>
      </c>
      <c r="G941" s="10" t="n">
        <v>3880</v>
      </c>
      <c r="H941" t="n">
        <v>1</v>
      </c>
      <c r="I941" s="11">
        <f>C941-CGPA_Mean</f>
        <v/>
      </c>
      <c r="J941">
        <f>D941</f>
        <v/>
      </c>
      <c r="K941">
        <f>E941</f>
        <v/>
      </c>
      <c r="L941">
        <f>F941</f>
        <v/>
      </c>
      <c r="M941" s="11">
        <f>I941*K941</f>
        <v/>
      </c>
      <c r="N941" s="12">
        <f>LN(G941)</f>
        <v/>
      </c>
      <c r="O941" s="12">
        <f>H941*Beta_0+I941*Beta_1+J941*Beta_2+K941*Beta_3+L941*Beta_4+M941*Beta_5</f>
        <v/>
      </c>
      <c r="P941" s="12">
        <f>N941-O941</f>
        <v/>
      </c>
      <c r="Q941" s="13">
        <f>EXP(O941)*Smearing_Factor</f>
        <v/>
      </c>
    </row>
    <row r="942">
      <c r="A942" t="n">
        <v>941</v>
      </c>
      <c r="B942" t="inlineStr">
        <is>
          <t>Social sciences, journalism and information</t>
        </is>
      </c>
      <c r="C942" s="9" t="n">
        <v>3.31</v>
      </c>
      <c r="D942" t="n">
        <v>6</v>
      </c>
      <c r="E942" t="n">
        <v>0</v>
      </c>
      <c r="F942" t="n">
        <v>0</v>
      </c>
      <c r="G942" s="10" t="n">
        <v>3330</v>
      </c>
      <c r="H942" t="n">
        <v>1</v>
      </c>
      <c r="I942" s="11">
        <f>C942-CGPA_Mean</f>
        <v/>
      </c>
      <c r="J942">
        <f>D942</f>
        <v/>
      </c>
      <c r="K942">
        <f>E942</f>
        <v/>
      </c>
      <c r="L942">
        <f>F942</f>
        <v/>
      </c>
      <c r="M942" s="11">
        <f>I942*K942</f>
        <v/>
      </c>
      <c r="N942" s="12">
        <f>LN(G942)</f>
        <v/>
      </c>
      <c r="O942" s="12">
        <f>H942*Beta_0+I942*Beta_1+J942*Beta_2+K942*Beta_3+L942*Beta_4+M942*Beta_5</f>
        <v/>
      </c>
      <c r="P942" s="12">
        <f>N942-O942</f>
        <v/>
      </c>
      <c r="Q942" s="13">
        <f>EXP(O942)*Smearing_Factor</f>
        <v/>
      </c>
    </row>
    <row r="943">
      <c r="A943" t="n">
        <v>942</v>
      </c>
      <c r="B943" t="inlineStr">
        <is>
          <t>Information and communication technologies</t>
        </is>
      </c>
      <c r="C943" s="9" t="n">
        <v>3.43</v>
      </c>
      <c r="D943" t="n">
        <v>6</v>
      </c>
      <c r="E943" t="n">
        <v>1</v>
      </c>
      <c r="F943" t="n">
        <v>1</v>
      </c>
      <c r="G943" s="10" t="n">
        <v>3670</v>
      </c>
      <c r="H943" t="n">
        <v>1</v>
      </c>
      <c r="I943" s="11">
        <f>C943-CGPA_Mean</f>
        <v/>
      </c>
      <c r="J943">
        <f>D943</f>
        <v/>
      </c>
      <c r="K943">
        <f>E943</f>
        <v/>
      </c>
      <c r="L943">
        <f>F943</f>
        <v/>
      </c>
      <c r="M943" s="11">
        <f>I943*K943</f>
        <v/>
      </c>
      <c r="N943" s="12">
        <f>LN(G943)</f>
        <v/>
      </c>
      <c r="O943" s="12">
        <f>H943*Beta_0+I943*Beta_1+J943*Beta_2+K943*Beta_3+L943*Beta_4+M943*Beta_5</f>
        <v/>
      </c>
      <c r="P943" s="12">
        <f>N943-O943</f>
        <v/>
      </c>
      <c r="Q943" s="13">
        <f>EXP(O943)*Smearing_Factor</f>
        <v/>
      </c>
    </row>
    <row r="944">
      <c r="A944" t="n">
        <v>943</v>
      </c>
      <c r="B944" t="inlineStr">
        <is>
          <t>Engineering, manufacturing and construction</t>
        </is>
      </c>
      <c r="C944" s="9" t="n">
        <v>3.5</v>
      </c>
      <c r="D944" t="n">
        <v>6</v>
      </c>
      <c r="E944" t="n">
        <v>1</v>
      </c>
      <c r="F944" t="n">
        <v>0</v>
      </c>
      <c r="G944" s="10" t="n">
        <v>3270</v>
      </c>
      <c r="H944" t="n">
        <v>1</v>
      </c>
      <c r="I944" s="11">
        <f>C944-CGPA_Mean</f>
        <v/>
      </c>
      <c r="J944">
        <f>D944</f>
        <v/>
      </c>
      <c r="K944">
        <f>E944</f>
        <v/>
      </c>
      <c r="L944">
        <f>F944</f>
        <v/>
      </c>
      <c r="M944" s="11">
        <f>I944*K944</f>
        <v/>
      </c>
      <c r="N944" s="12">
        <f>LN(G944)</f>
        <v/>
      </c>
      <c r="O944" s="12">
        <f>H944*Beta_0+I944*Beta_1+J944*Beta_2+K944*Beta_3+L944*Beta_4+M944*Beta_5</f>
        <v/>
      </c>
      <c r="P944" s="12">
        <f>N944-O944</f>
        <v/>
      </c>
      <c r="Q944" s="13">
        <f>EXP(O944)*Smearing_Factor</f>
        <v/>
      </c>
    </row>
    <row r="945">
      <c r="A945" t="n">
        <v>944</v>
      </c>
      <c r="B945" t="inlineStr">
        <is>
          <t>Business, administration and law</t>
        </is>
      </c>
      <c r="C945" s="9" t="n">
        <v>3.01</v>
      </c>
      <c r="D945" t="n">
        <v>3</v>
      </c>
      <c r="E945" t="n">
        <v>0</v>
      </c>
      <c r="F945" t="n">
        <v>0</v>
      </c>
      <c r="G945" s="10" t="n">
        <v>2580</v>
      </c>
      <c r="H945" t="n">
        <v>1</v>
      </c>
      <c r="I945" s="11">
        <f>C945-CGPA_Mean</f>
        <v/>
      </c>
      <c r="J945">
        <f>D945</f>
        <v/>
      </c>
      <c r="K945">
        <f>E945</f>
        <v/>
      </c>
      <c r="L945">
        <f>F945</f>
        <v/>
      </c>
      <c r="M945" s="11">
        <f>I945*K945</f>
        <v/>
      </c>
      <c r="N945" s="12">
        <f>LN(G945)</f>
        <v/>
      </c>
      <c r="O945" s="12">
        <f>H945*Beta_0+I945*Beta_1+J945*Beta_2+K945*Beta_3+L945*Beta_4+M945*Beta_5</f>
        <v/>
      </c>
      <c r="P945" s="12">
        <f>N945-O945</f>
        <v/>
      </c>
      <c r="Q945" s="13">
        <f>EXP(O945)*Smearing_Factor</f>
        <v/>
      </c>
    </row>
    <row r="946">
      <c r="A946" t="n">
        <v>945</v>
      </c>
      <c r="B946" t="inlineStr">
        <is>
          <t>Business, administration and law</t>
        </is>
      </c>
      <c r="C946" s="9" t="n">
        <v>3.61</v>
      </c>
      <c r="D946" t="n">
        <v>3</v>
      </c>
      <c r="E946" t="n">
        <v>0</v>
      </c>
      <c r="F946" t="n">
        <v>1</v>
      </c>
      <c r="G946" s="10" t="n">
        <v>7500</v>
      </c>
      <c r="H946" t="n">
        <v>1</v>
      </c>
      <c r="I946" s="11">
        <f>C946-CGPA_Mean</f>
        <v/>
      </c>
      <c r="J946">
        <f>D946</f>
        <v/>
      </c>
      <c r="K946">
        <f>E946</f>
        <v/>
      </c>
      <c r="L946">
        <f>F946</f>
        <v/>
      </c>
      <c r="M946" s="11">
        <f>I946*K946</f>
        <v/>
      </c>
      <c r="N946" s="12">
        <f>LN(G946)</f>
        <v/>
      </c>
      <c r="O946" s="12">
        <f>H946*Beta_0+I946*Beta_1+J946*Beta_2+K946*Beta_3+L946*Beta_4+M946*Beta_5</f>
        <v/>
      </c>
      <c r="P946" s="12">
        <f>N946-O946</f>
        <v/>
      </c>
      <c r="Q946" s="13">
        <f>EXP(O946)*Smearing_Factor</f>
        <v/>
      </c>
    </row>
    <row r="947">
      <c r="A947" t="n">
        <v>946</v>
      </c>
      <c r="B947" t="inlineStr">
        <is>
          <t>Education</t>
        </is>
      </c>
      <c r="C947" s="9" t="n">
        <v>3.57</v>
      </c>
      <c r="D947" t="n">
        <v>3</v>
      </c>
      <c r="E947" t="n">
        <v>0</v>
      </c>
      <c r="F947" t="n">
        <v>0</v>
      </c>
      <c r="G947" s="10" t="n">
        <v>4840</v>
      </c>
      <c r="H947" t="n">
        <v>1</v>
      </c>
      <c r="I947" s="11">
        <f>C947-CGPA_Mean</f>
        <v/>
      </c>
      <c r="J947">
        <f>D947</f>
        <v/>
      </c>
      <c r="K947">
        <f>E947</f>
        <v/>
      </c>
      <c r="L947">
        <f>F947</f>
        <v/>
      </c>
      <c r="M947" s="11">
        <f>I947*K947</f>
        <v/>
      </c>
      <c r="N947" s="12">
        <f>LN(G947)</f>
        <v/>
      </c>
      <c r="O947" s="12">
        <f>H947*Beta_0+I947*Beta_1+J947*Beta_2+K947*Beta_3+L947*Beta_4+M947*Beta_5</f>
        <v/>
      </c>
      <c r="P947" s="12">
        <f>N947-O947</f>
        <v/>
      </c>
      <c r="Q947" s="13">
        <f>EXP(O947)*Smearing_Factor</f>
        <v/>
      </c>
    </row>
    <row r="948">
      <c r="A948" t="n">
        <v>947</v>
      </c>
      <c r="B948" t="inlineStr">
        <is>
          <t>Engineering, manufacturing and construction</t>
        </is>
      </c>
      <c r="C948" s="9" t="n">
        <v>3.35</v>
      </c>
      <c r="D948" t="n">
        <v>6</v>
      </c>
      <c r="E948" t="n">
        <v>1</v>
      </c>
      <c r="F948" t="n">
        <v>0</v>
      </c>
      <c r="G948" s="10" t="n">
        <v>2470</v>
      </c>
      <c r="H948" t="n">
        <v>1</v>
      </c>
      <c r="I948" s="11">
        <f>C948-CGPA_Mean</f>
        <v/>
      </c>
      <c r="J948">
        <f>D948</f>
        <v/>
      </c>
      <c r="K948">
        <f>E948</f>
        <v/>
      </c>
      <c r="L948">
        <f>F948</f>
        <v/>
      </c>
      <c r="M948" s="11">
        <f>I948*K948</f>
        <v/>
      </c>
      <c r="N948" s="12">
        <f>LN(G948)</f>
        <v/>
      </c>
      <c r="O948" s="12">
        <f>H948*Beta_0+I948*Beta_1+J948*Beta_2+K948*Beta_3+L948*Beta_4+M948*Beta_5</f>
        <v/>
      </c>
      <c r="P948" s="12">
        <f>N948-O948</f>
        <v/>
      </c>
      <c r="Q948" s="13">
        <f>EXP(O948)*Smearing_Factor</f>
        <v/>
      </c>
    </row>
    <row r="949">
      <c r="A949" t="n">
        <v>948</v>
      </c>
      <c r="B949" t="inlineStr">
        <is>
          <t>Health and welfare</t>
        </is>
      </c>
      <c r="C949" s="9" t="n">
        <v>3.01</v>
      </c>
      <c r="D949" t="n">
        <v>3</v>
      </c>
      <c r="E949" t="n">
        <v>0</v>
      </c>
      <c r="F949" t="n">
        <v>0</v>
      </c>
      <c r="G949" s="10" t="n">
        <v>1740</v>
      </c>
      <c r="H949" t="n">
        <v>1</v>
      </c>
      <c r="I949" s="11">
        <f>C949-CGPA_Mean</f>
        <v/>
      </c>
      <c r="J949">
        <f>D949</f>
        <v/>
      </c>
      <c r="K949">
        <f>E949</f>
        <v/>
      </c>
      <c r="L949">
        <f>F949</f>
        <v/>
      </c>
      <c r="M949" s="11">
        <f>I949*K949</f>
        <v/>
      </c>
      <c r="N949" s="12">
        <f>LN(G949)</f>
        <v/>
      </c>
      <c r="O949" s="12">
        <f>H949*Beta_0+I949*Beta_1+J949*Beta_2+K949*Beta_3+L949*Beta_4+M949*Beta_5</f>
        <v/>
      </c>
      <c r="P949" s="12">
        <f>N949-O949</f>
        <v/>
      </c>
      <c r="Q949" s="13">
        <f>EXP(O949)*Smearing_Factor</f>
        <v/>
      </c>
    </row>
    <row r="950">
      <c r="A950" t="n">
        <v>949</v>
      </c>
      <c r="B950" t="inlineStr">
        <is>
          <t>Business, administration and law</t>
        </is>
      </c>
      <c r="C950" s="9" t="n">
        <v>3.29</v>
      </c>
      <c r="D950" t="n">
        <v>9</v>
      </c>
      <c r="E950" t="n">
        <v>0</v>
      </c>
      <c r="F950" t="n">
        <v>0</v>
      </c>
      <c r="G950" s="10" t="n">
        <v>3130</v>
      </c>
      <c r="H950" t="n">
        <v>1</v>
      </c>
      <c r="I950" s="11">
        <f>C950-CGPA_Mean</f>
        <v/>
      </c>
      <c r="J950">
        <f>D950</f>
        <v/>
      </c>
      <c r="K950">
        <f>E950</f>
        <v/>
      </c>
      <c r="L950">
        <f>F950</f>
        <v/>
      </c>
      <c r="M950" s="11">
        <f>I950*K950</f>
        <v/>
      </c>
      <c r="N950" s="12">
        <f>LN(G950)</f>
        <v/>
      </c>
      <c r="O950" s="12">
        <f>H950*Beta_0+I950*Beta_1+J950*Beta_2+K950*Beta_3+L950*Beta_4+M950*Beta_5</f>
        <v/>
      </c>
      <c r="P950" s="12">
        <f>N950-O950</f>
        <v/>
      </c>
      <c r="Q950" s="13">
        <f>EXP(O950)*Smearing_Factor</f>
        <v/>
      </c>
    </row>
    <row r="951">
      <c r="A951" t="n">
        <v>950</v>
      </c>
      <c r="B951" t="inlineStr">
        <is>
          <t>Business, administration and law</t>
        </is>
      </c>
      <c r="C951" s="9" t="n">
        <v>3.48</v>
      </c>
      <c r="D951" t="n">
        <v>3</v>
      </c>
      <c r="E951" t="n">
        <v>0</v>
      </c>
      <c r="F951" t="n">
        <v>1</v>
      </c>
      <c r="G951" s="10" t="n">
        <v>2870</v>
      </c>
      <c r="H951" t="n">
        <v>1</v>
      </c>
      <c r="I951" s="11">
        <f>C951-CGPA_Mean</f>
        <v/>
      </c>
      <c r="J951">
        <f>D951</f>
        <v/>
      </c>
      <c r="K951">
        <f>E951</f>
        <v/>
      </c>
      <c r="L951">
        <f>F951</f>
        <v/>
      </c>
      <c r="M951" s="11">
        <f>I951*K951</f>
        <v/>
      </c>
      <c r="N951" s="12">
        <f>LN(G951)</f>
        <v/>
      </c>
      <c r="O951" s="12">
        <f>H951*Beta_0+I951*Beta_1+J951*Beta_2+K951*Beta_3+L951*Beta_4+M951*Beta_5</f>
        <v/>
      </c>
      <c r="P951" s="12">
        <f>N951-O951</f>
        <v/>
      </c>
      <c r="Q951" s="13">
        <f>EXP(O951)*Smearing_Factor</f>
        <v/>
      </c>
    </row>
    <row r="952">
      <c r="A952" t="n">
        <v>951</v>
      </c>
      <c r="B952" t="inlineStr">
        <is>
          <t>Engineering, manufacturing and construction</t>
        </is>
      </c>
      <c r="C952" s="9" t="n">
        <v>3.18</v>
      </c>
      <c r="D952" t="n">
        <v>6</v>
      </c>
      <c r="E952" t="n">
        <v>1</v>
      </c>
      <c r="F952" t="n">
        <v>0</v>
      </c>
      <c r="G952" s="10" t="n">
        <v>2000</v>
      </c>
      <c r="H952" t="n">
        <v>1</v>
      </c>
      <c r="I952" s="11">
        <f>C952-CGPA_Mean</f>
        <v/>
      </c>
      <c r="J952">
        <f>D952</f>
        <v/>
      </c>
      <c r="K952">
        <f>E952</f>
        <v/>
      </c>
      <c r="L952">
        <f>F952</f>
        <v/>
      </c>
      <c r="M952" s="11">
        <f>I952*K952</f>
        <v/>
      </c>
      <c r="N952" s="12">
        <f>LN(G952)</f>
        <v/>
      </c>
      <c r="O952" s="12">
        <f>H952*Beta_0+I952*Beta_1+J952*Beta_2+K952*Beta_3+L952*Beta_4+M952*Beta_5</f>
        <v/>
      </c>
      <c r="P952" s="12">
        <f>N952-O952</f>
        <v/>
      </c>
      <c r="Q952" s="13">
        <f>EXP(O952)*Smearing_Factor</f>
        <v/>
      </c>
    </row>
    <row r="953">
      <c r="A953" t="n">
        <v>952</v>
      </c>
      <c r="B953" t="inlineStr">
        <is>
          <t>Business, administration and law</t>
        </is>
      </c>
      <c r="C953" s="9" t="n">
        <v>3.14</v>
      </c>
      <c r="D953" t="n">
        <v>9</v>
      </c>
      <c r="E953" t="n">
        <v>0</v>
      </c>
      <c r="F953" t="n">
        <v>1</v>
      </c>
      <c r="G953" s="10" t="n">
        <v>3840</v>
      </c>
      <c r="H953" t="n">
        <v>1</v>
      </c>
      <c r="I953" s="11">
        <f>C953-CGPA_Mean</f>
        <v/>
      </c>
      <c r="J953">
        <f>D953</f>
        <v/>
      </c>
      <c r="K953">
        <f>E953</f>
        <v/>
      </c>
      <c r="L953">
        <f>F953</f>
        <v/>
      </c>
      <c r="M953" s="11">
        <f>I953*K953</f>
        <v/>
      </c>
      <c r="N953" s="12">
        <f>LN(G953)</f>
        <v/>
      </c>
      <c r="O953" s="12">
        <f>H953*Beta_0+I953*Beta_1+J953*Beta_2+K953*Beta_3+L953*Beta_4+M953*Beta_5</f>
        <v/>
      </c>
      <c r="P953" s="12">
        <f>N953-O953</f>
        <v/>
      </c>
      <c r="Q953" s="13">
        <f>EXP(O953)*Smearing_Factor</f>
        <v/>
      </c>
    </row>
    <row r="954">
      <c r="A954" t="n">
        <v>953</v>
      </c>
      <c r="B954" t="inlineStr">
        <is>
          <t>Business, administration and law</t>
        </is>
      </c>
      <c r="C954" s="9" t="n">
        <v>3.31</v>
      </c>
      <c r="D954" t="n">
        <v>9</v>
      </c>
      <c r="E954" t="n">
        <v>0</v>
      </c>
      <c r="F954" t="n">
        <v>0</v>
      </c>
      <c r="G954" s="10" t="n">
        <v>3040</v>
      </c>
      <c r="H954" t="n">
        <v>1</v>
      </c>
      <c r="I954" s="11">
        <f>C954-CGPA_Mean</f>
        <v/>
      </c>
      <c r="J954">
        <f>D954</f>
        <v/>
      </c>
      <c r="K954">
        <f>E954</f>
        <v/>
      </c>
      <c r="L954">
        <f>F954</f>
        <v/>
      </c>
      <c r="M954" s="11">
        <f>I954*K954</f>
        <v/>
      </c>
      <c r="N954" s="12">
        <f>LN(G954)</f>
        <v/>
      </c>
      <c r="O954" s="12">
        <f>H954*Beta_0+I954*Beta_1+J954*Beta_2+K954*Beta_3+L954*Beta_4+M954*Beta_5</f>
        <v/>
      </c>
      <c r="P954" s="12">
        <f>N954-O954</f>
        <v/>
      </c>
      <c r="Q954" s="13">
        <f>EXP(O954)*Smearing_Factor</f>
        <v/>
      </c>
    </row>
    <row r="955">
      <c r="A955" t="n">
        <v>954</v>
      </c>
      <c r="B955" t="inlineStr">
        <is>
          <t>Engineering, manufacturing and construction</t>
        </is>
      </c>
      <c r="C955" s="9" t="n">
        <v>3.37</v>
      </c>
      <c r="D955" t="n">
        <v>3</v>
      </c>
      <c r="E955" t="n">
        <v>1</v>
      </c>
      <c r="F955" t="n">
        <v>1</v>
      </c>
      <c r="G955" s="10" t="n">
        <v>2770</v>
      </c>
      <c r="H955" t="n">
        <v>1</v>
      </c>
      <c r="I955" s="11">
        <f>C955-CGPA_Mean</f>
        <v/>
      </c>
      <c r="J955">
        <f>D955</f>
        <v/>
      </c>
      <c r="K955">
        <f>E955</f>
        <v/>
      </c>
      <c r="L955">
        <f>F955</f>
        <v/>
      </c>
      <c r="M955" s="11">
        <f>I955*K955</f>
        <v/>
      </c>
      <c r="N955" s="12">
        <f>LN(G955)</f>
        <v/>
      </c>
      <c r="O955" s="12">
        <f>H955*Beta_0+I955*Beta_1+J955*Beta_2+K955*Beta_3+L955*Beta_4+M955*Beta_5</f>
        <v/>
      </c>
      <c r="P955" s="12">
        <f>N955-O955</f>
        <v/>
      </c>
      <c r="Q955" s="13">
        <f>EXP(O955)*Smearing_Factor</f>
        <v/>
      </c>
    </row>
    <row r="956">
      <c r="A956" t="n">
        <v>955</v>
      </c>
      <c r="B956" t="inlineStr">
        <is>
          <t>Natural sciences, mathematics and statistics</t>
        </is>
      </c>
      <c r="C956" s="9" t="n">
        <v>3.38</v>
      </c>
      <c r="D956" t="n">
        <v>6</v>
      </c>
      <c r="E956" t="n">
        <v>1</v>
      </c>
      <c r="F956" t="n">
        <v>0</v>
      </c>
      <c r="G956" s="10" t="n">
        <v>3870</v>
      </c>
      <c r="H956" t="n">
        <v>1</v>
      </c>
      <c r="I956" s="11">
        <f>C956-CGPA_Mean</f>
        <v/>
      </c>
      <c r="J956">
        <f>D956</f>
        <v/>
      </c>
      <c r="K956">
        <f>E956</f>
        <v/>
      </c>
      <c r="L956">
        <f>F956</f>
        <v/>
      </c>
      <c r="M956" s="11">
        <f>I956*K956</f>
        <v/>
      </c>
      <c r="N956" s="12">
        <f>LN(G956)</f>
        <v/>
      </c>
      <c r="O956" s="12">
        <f>H956*Beta_0+I956*Beta_1+J956*Beta_2+K956*Beta_3+L956*Beta_4+M956*Beta_5</f>
        <v/>
      </c>
      <c r="P956" s="12">
        <f>N956-O956</f>
        <v/>
      </c>
      <c r="Q956" s="13">
        <f>EXP(O956)*Smearing_Factor</f>
        <v/>
      </c>
    </row>
    <row r="957">
      <c r="A957" t="n">
        <v>956</v>
      </c>
      <c r="B957" t="inlineStr">
        <is>
          <t>Health and welfare</t>
        </is>
      </c>
      <c r="C957" s="9" t="n">
        <v>2.78</v>
      </c>
      <c r="D957" t="n">
        <v>3</v>
      </c>
      <c r="E957" t="n">
        <v>0</v>
      </c>
      <c r="F957" t="n">
        <v>0</v>
      </c>
      <c r="G957" s="10" t="n">
        <v>1950</v>
      </c>
      <c r="H957" t="n">
        <v>1</v>
      </c>
      <c r="I957" s="11">
        <f>C957-CGPA_Mean</f>
        <v/>
      </c>
      <c r="J957">
        <f>D957</f>
        <v/>
      </c>
      <c r="K957">
        <f>E957</f>
        <v/>
      </c>
      <c r="L957">
        <f>F957</f>
        <v/>
      </c>
      <c r="M957" s="11">
        <f>I957*K957</f>
        <v/>
      </c>
      <c r="N957" s="12">
        <f>LN(G957)</f>
        <v/>
      </c>
      <c r="O957" s="12">
        <f>H957*Beta_0+I957*Beta_1+J957*Beta_2+K957*Beta_3+L957*Beta_4+M957*Beta_5</f>
        <v/>
      </c>
      <c r="P957" s="12">
        <f>N957-O957</f>
        <v/>
      </c>
      <c r="Q957" s="13">
        <f>EXP(O957)*Smearing_Factor</f>
        <v/>
      </c>
    </row>
    <row r="958">
      <c r="A958" t="n">
        <v>957</v>
      </c>
      <c r="B958" t="inlineStr">
        <is>
          <t>Arts and humanities</t>
        </is>
      </c>
      <c r="C958" s="9" t="n">
        <v>3.84</v>
      </c>
      <c r="D958" t="n">
        <v>6</v>
      </c>
      <c r="E958" t="n">
        <v>0</v>
      </c>
      <c r="F958" t="n">
        <v>0</v>
      </c>
      <c r="G958" s="10" t="n">
        <v>1910</v>
      </c>
      <c r="H958" t="n">
        <v>1</v>
      </c>
      <c r="I958" s="11">
        <f>C958-CGPA_Mean</f>
        <v/>
      </c>
      <c r="J958">
        <f>D958</f>
        <v/>
      </c>
      <c r="K958">
        <f>E958</f>
        <v/>
      </c>
      <c r="L958">
        <f>F958</f>
        <v/>
      </c>
      <c r="M958" s="11">
        <f>I958*K958</f>
        <v/>
      </c>
      <c r="N958" s="12">
        <f>LN(G958)</f>
        <v/>
      </c>
      <c r="O958" s="12">
        <f>H958*Beta_0+I958*Beta_1+J958*Beta_2+K958*Beta_3+L958*Beta_4+M958*Beta_5</f>
        <v/>
      </c>
      <c r="P958" s="12">
        <f>N958-O958</f>
        <v/>
      </c>
      <c r="Q958" s="13">
        <f>EXP(O958)*Smearing_Factor</f>
        <v/>
      </c>
    </row>
    <row r="959">
      <c r="A959" t="n">
        <v>958</v>
      </c>
      <c r="B959" t="inlineStr">
        <is>
          <t>Social sciences, journalism and information</t>
        </is>
      </c>
      <c r="C959" s="9" t="n">
        <v>3.37</v>
      </c>
      <c r="D959" t="n">
        <v>3</v>
      </c>
      <c r="E959" t="n">
        <v>0</v>
      </c>
      <c r="F959" t="n">
        <v>0</v>
      </c>
      <c r="G959" s="10" t="n">
        <v>3740</v>
      </c>
      <c r="H959" t="n">
        <v>1</v>
      </c>
      <c r="I959" s="11">
        <f>C959-CGPA_Mean</f>
        <v/>
      </c>
      <c r="J959">
        <f>D959</f>
        <v/>
      </c>
      <c r="K959">
        <f>E959</f>
        <v/>
      </c>
      <c r="L959">
        <f>F959</f>
        <v/>
      </c>
      <c r="M959" s="11">
        <f>I959*K959</f>
        <v/>
      </c>
      <c r="N959" s="12">
        <f>LN(G959)</f>
        <v/>
      </c>
      <c r="O959" s="12">
        <f>H959*Beta_0+I959*Beta_1+J959*Beta_2+K959*Beta_3+L959*Beta_4+M959*Beta_5</f>
        <v/>
      </c>
      <c r="P959" s="12">
        <f>N959-O959</f>
        <v/>
      </c>
      <c r="Q959" s="13">
        <f>EXP(O959)*Smearing_Factor</f>
        <v/>
      </c>
    </row>
    <row r="960">
      <c r="A960" t="n">
        <v>959</v>
      </c>
      <c r="B960" t="inlineStr">
        <is>
          <t>Business, administration and law</t>
        </is>
      </c>
      <c r="C960" s="9" t="n">
        <v>3.2</v>
      </c>
      <c r="D960" t="n">
        <v>6</v>
      </c>
      <c r="E960" t="n">
        <v>0</v>
      </c>
      <c r="F960" t="n">
        <v>0</v>
      </c>
      <c r="G960" s="10" t="n">
        <v>3280</v>
      </c>
      <c r="H960" t="n">
        <v>1</v>
      </c>
      <c r="I960" s="11">
        <f>C960-CGPA_Mean</f>
        <v/>
      </c>
      <c r="J960">
        <f>D960</f>
        <v/>
      </c>
      <c r="K960">
        <f>E960</f>
        <v/>
      </c>
      <c r="L960">
        <f>F960</f>
        <v/>
      </c>
      <c r="M960" s="11">
        <f>I960*K960</f>
        <v/>
      </c>
      <c r="N960" s="12">
        <f>LN(G960)</f>
        <v/>
      </c>
      <c r="O960" s="12">
        <f>H960*Beta_0+I960*Beta_1+J960*Beta_2+K960*Beta_3+L960*Beta_4+M960*Beta_5</f>
        <v/>
      </c>
      <c r="P960" s="12">
        <f>N960-O960</f>
        <v/>
      </c>
      <c r="Q960" s="13">
        <f>EXP(O960)*Smearing_Factor</f>
        <v/>
      </c>
    </row>
    <row r="961">
      <c r="A961" t="n">
        <v>960</v>
      </c>
      <c r="B961" t="inlineStr">
        <is>
          <t>Business, administration and law</t>
        </is>
      </c>
      <c r="C961" s="9" t="n">
        <v>2.91</v>
      </c>
      <c r="D961" t="n">
        <v>6</v>
      </c>
      <c r="E961" t="n">
        <v>0</v>
      </c>
      <c r="F961" t="n">
        <v>0</v>
      </c>
      <c r="G961" s="10" t="n">
        <v>2290</v>
      </c>
      <c r="H961" t="n">
        <v>1</v>
      </c>
      <c r="I961" s="11">
        <f>C961-CGPA_Mean</f>
        <v/>
      </c>
      <c r="J961">
        <f>D961</f>
        <v/>
      </c>
      <c r="K961">
        <f>E961</f>
        <v/>
      </c>
      <c r="L961">
        <f>F961</f>
        <v/>
      </c>
      <c r="M961" s="11">
        <f>I961*K961</f>
        <v/>
      </c>
      <c r="N961" s="12">
        <f>LN(G961)</f>
        <v/>
      </c>
      <c r="O961" s="12">
        <f>H961*Beta_0+I961*Beta_1+J961*Beta_2+K961*Beta_3+L961*Beta_4+M961*Beta_5</f>
        <v/>
      </c>
      <c r="P961" s="12">
        <f>N961-O961</f>
        <v/>
      </c>
      <c r="Q961" s="13">
        <f>EXP(O961)*Smearing_Factor</f>
        <v/>
      </c>
    </row>
    <row r="962">
      <c r="A962" t="n">
        <v>961</v>
      </c>
      <c r="B962" t="inlineStr">
        <is>
          <t>Arts and humanities</t>
        </is>
      </c>
      <c r="C962" s="9" t="n">
        <v>2.62</v>
      </c>
      <c r="D962" t="n">
        <v>6</v>
      </c>
      <c r="E962" t="n">
        <v>0</v>
      </c>
      <c r="F962" t="n">
        <v>1</v>
      </c>
      <c r="G962" s="10" t="n">
        <v>2450</v>
      </c>
      <c r="H962" t="n">
        <v>1</v>
      </c>
      <c r="I962" s="11">
        <f>C962-CGPA_Mean</f>
        <v/>
      </c>
      <c r="J962">
        <f>D962</f>
        <v/>
      </c>
      <c r="K962">
        <f>E962</f>
        <v/>
      </c>
      <c r="L962">
        <f>F962</f>
        <v/>
      </c>
      <c r="M962" s="11">
        <f>I962*K962</f>
        <v/>
      </c>
      <c r="N962" s="12">
        <f>LN(G962)</f>
        <v/>
      </c>
      <c r="O962" s="12">
        <f>H962*Beta_0+I962*Beta_1+J962*Beta_2+K962*Beta_3+L962*Beta_4+M962*Beta_5</f>
        <v/>
      </c>
      <c r="P962" s="12">
        <f>N962-O962</f>
        <v/>
      </c>
      <c r="Q962" s="13">
        <f>EXP(O962)*Smearing_Factor</f>
        <v/>
      </c>
    </row>
    <row r="963">
      <c r="A963" t="n">
        <v>962</v>
      </c>
      <c r="B963" t="inlineStr">
        <is>
          <t>Arts and humanities</t>
        </is>
      </c>
      <c r="C963" s="9" t="n">
        <v>2.66</v>
      </c>
      <c r="D963" t="n">
        <v>3</v>
      </c>
      <c r="E963" t="n">
        <v>0</v>
      </c>
      <c r="F963" t="n">
        <v>1</v>
      </c>
      <c r="G963" s="10" t="n">
        <v>3190</v>
      </c>
      <c r="H963" t="n">
        <v>1</v>
      </c>
      <c r="I963" s="11">
        <f>C963-CGPA_Mean</f>
        <v/>
      </c>
      <c r="J963">
        <f>D963</f>
        <v/>
      </c>
      <c r="K963">
        <f>E963</f>
        <v/>
      </c>
      <c r="L963">
        <f>F963</f>
        <v/>
      </c>
      <c r="M963" s="11">
        <f>I963*K963</f>
        <v/>
      </c>
      <c r="N963" s="12">
        <f>LN(G963)</f>
        <v/>
      </c>
      <c r="O963" s="12">
        <f>H963*Beta_0+I963*Beta_1+J963*Beta_2+K963*Beta_3+L963*Beta_4+M963*Beta_5</f>
        <v/>
      </c>
      <c r="P963" s="12">
        <f>N963-O963</f>
        <v/>
      </c>
      <c r="Q963" s="13">
        <f>EXP(O963)*Smearing_Factor</f>
        <v/>
      </c>
    </row>
    <row r="964">
      <c r="A964" t="n">
        <v>963</v>
      </c>
      <c r="B964" t="inlineStr">
        <is>
          <t>Information and communication technologies</t>
        </is>
      </c>
      <c r="C964" s="9" t="n">
        <v>2.88</v>
      </c>
      <c r="D964" t="n">
        <v>6</v>
      </c>
      <c r="E964" t="n">
        <v>1</v>
      </c>
      <c r="F964" t="n">
        <v>0</v>
      </c>
      <c r="G964" s="10" t="n">
        <v>2450</v>
      </c>
      <c r="H964" t="n">
        <v>1</v>
      </c>
      <c r="I964" s="11">
        <f>C964-CGPA_Mean</f>
        <v/>
      </c>
      <c r="J964">
        <f>D964</f>
        <v/>
      </c>
      <c r="K964">
        <f>E964</f>
        <v/>
      </c>
      <c r="L964">
        <f>F964</f>
        <v/>
      </c>
      <c r="M964" s="11">
        <f>I964*K964</f>
        <v/>
      </c>
      <c r="N964" s="12">
        <f>LN(G964)</f>
        <v/>
      </c>
      <c r="O964" s="12">
        <f>H964*Beta_0+I964*Beta_1+J964*Beta_2+K964*Beta_3+L964*Beta_4+M964*Beta_5</f>
        <v/>
      </c>
      <c r="P964" s="12">
        <f>N964-O964</f>
        <v/>
      </c>
      <c r="Q964" s="13">
        <f>EXP(O964)*Smearing_Factor</f>
        <v/>
      </c>
    </row>
    <row r="965">
      <c r="A965" t="n">
        <v>964</v>
      </c>
      <c r="B965" t="inlineStr">
        <is>
          <t>Services</t>
        </is>
      </c>
      <c r="C965" s="9" t="n">
        <v>3.24</v>
      </c>
      <c r="D965" t="n">
        <v>3</v>
      </c>
      <c r="E965" t="n">
        <v>0</v>
      </c>
      <c r="F965" t="n">
        <v>0</v>
      </c>
      <c r="G965" s="10" t="n">
        <v>2700</v>
      </c>
      <c r="H965" t="n">
        <v>1</v>
      </c>
      <c r="I965" s="11">
        <f>C965-CGPA_Mean</f>
        <v/>
      </c>
      <c r="J965">
        <f>D965</f>
        <v/>
      </c>
      <c r="K965">
        <f>E965</f>
        <v/>
      </c>
      <c r="L965">
        <f>F965</f>
        <v/>
      </c>
      <c r="M965" s="11">
        <f>I965*K965</f>
        <v/>
      </c>
      <c r="N965" s="12">
        <f>LN(G965)</f>
        <v/>
      </c>
      <c r="O965" s="12">
        <f>H965*Beta_0+I965*Beta_1+J965*Beta_2+K965*Beta_3+L965*Beta_4+M965*Beta_5</f>
        <v/>
      </c>
      <c r="P965" s="12">
        <f>N965-O965</f>
        <v/>
      </c>
      <c r="Q965" s="13">
        <f>EXP(O965)*Smearing_Factor</f>
        <v/>
      </c>
    </row>
    <row r="966">
      <c r="A966" t="n">
        <v>965</v>
      </c>
      <c r="B966" t="inlineStr">
        <is>
          <t>Arts and humanities</t>
        </is>
      </c>
      <c r="C966" s="9" t="n">
        <v>3.07</v>
      </c>
      <c r="D966" t="n">
        <v>6</v>
      </c>
      <c r="E966" t="n">
        <v>0</v>
      </c>
      <c r="F966" t="n">
        <v>1</v>
      </c>
      <c r="G966" s="10" t="n">
        <v>1610</v>
      </c>
      <c r="H966" t="n">
        <v>1</v>
      </c>
      <c r="I966" s="11">
        <f>C966-CGPA_Mean</f>
        <v/>
      </c>
      <c r="J966">
        <f>D966</f>
        <v/>
      </c>
      <c r="K966">
        <f>E966</f>
        <v/>
      </c>
      <c r="L966">
        <f>F966</f>
        <v/>
      </c>
      <c r="M966" s="11">
        <f>I966*K966</f>
        <v/>
      </c>
      <c r="N966" s="12">
        <f>LN(G966)</f>
        <v/>
      </c>
      <c r="O966" s="12">
        <f>H966*Beta_0+I966*Beta_1+J966*Beta_2+K966*Beta_3+L966*Beta_4+M966*Beta_5</f>
        <v/>
      </c>
      <c r="P966" s="12">
        <f>N966-O966</f>
        <v/>
      </c>
      <c r="Q966" s="13">
        <f>EXP(O966)*Smearing_Factor</f>
        <v/>
      </c>
    </row>
    <row r="967">
      <c r="A967" t="n">
        <v>966</v>
      </c>
      <c r="B967" t="inlineStr">
        <is>
          <t>Education</t>
        </is>
      </c>
      <c r="C967" s="9" t="n">
        <v>3.27</v>
      </c>
      <c r="D967" t="n">
        <v>3</v>
      </c>
      <c r="E967" t="n">
        <v>0</v>
      </c>
      <c r="F967" t="n">
        <v>1</v>
      </c>
      <c r="G967" s="10" t="n">
        <v>1710</v>
      </c>
      <c r="H967" t="n">
        <v>1</v>
      </c>
      <c r="I967" s="11">
        <f>C967-CGPA_Mean</f>
        <v/>
      </c>
      <c r="J967">
        <f>D967</f>
        <v/>
      </c>
      <c r="K967">
        <f>E967</f>
        <v/>
      </c>
      <c r="L967">
        <f>F967</f>
        <v/>
      </c>
      <c r="M967" s="11">
        <f>I967*K967</f>
        <v/>
      </c>
      <c r="N967" s="12">
        <f>LN(G967)</f>
        <v/>
      </c>
      <c r="O967" s="12">
        <f>H967*Beta_0+I967*Beta_1+J967*Beta_2+K967*Beta_3+L967*Beta_4+M967*Beta_5</f>
        <v/>
      </c>
      <c r="P967" s="12">
        <f>N967-O967</f>
        <v/>
      </c>
      <c r="Q967" s="13">
        <f>EXP(O967)*Smearing_Factor</f>
        <v/>
      </c>
    </row>
    <row r="968">
      <c r="A968" t="n">
        <v>967</v>
      </c>
      <c r="B968" t="inlineStr">
        <is>
          <t>Business, administration and law</t>
        </is>
      </c>
      <c r="C968" s="9" t="n">
        <v>3.39</v>
      </c>
      <c r="D968" t="n">
        <v>6</v>
      </c>
      <c r="E968" t="n">
        <v>0</v>
      </c>
      <c r="F968" t="n">
        <v>0</v>
      </c>
      <c r="G968" s="10" t="n">
        <v>1970</v>
      </c>
      <c r="H968" t="n">
        <v>1</v>
      </c>
      <c r="I968" s="11">
        <f>C968-CGPA_Mean</f>
        <v/>
      </c>
      <c r="J968">
        <f>D968</f>
        <v/>
      </c>
      <c r="K968">
        <f>E968</f>
        <v/>
      </c>
      <c r="L968">
        <f>F968</f>
        <v/>
      </c>
      <c r="M968" s="11">
        <f>I968*K968</f>
        <v/>
      </c>
      <c r="N968" s="12">
        <f>LN(G968)</f>
        <v/>
      </c>
      <c r="O968" s="12">
        <f>H968*Beta_0+I968*Beta_1+J968*Beta_2+K968*Beta_3+L968*Beta_4+M968*Beta_5</f>
        <v/>
      </c>
      <c r="P968" s="12">
        <f>N968-O968</f>
        <v/>
      </c>
      <c r="Q968" s="13">
        <f>EXP(O968)*Smearing_Factor</f>
        <v/>
      </c>
    </row>
    <row r="969">
      <c r="A969" t="n">
        <v>968</v>
      </c>
      <c r="B969" t="inlineStr">
        <is>
          <t>Natural sciences, mathematics and statistics</t>
        </is>
      </c>
      <c r="C969" s="9" t="n">
        <v>3.06</v>
      </c>
      <c r="D969" t="n">
        <v>9</v>
      </c>
      <c r="E969" t="n">
        <v>1</v>
      </c>
      <c r="F969" t="n">
        <v>0</v>
      </c>
      <c r="G969" s="10" t="n">
        <v>2720</v>
      </c>
      <c r="H969" t="n">
        <v>1</v>
      </c>
      <c r="I969" s="11">
        <f>C969-CGPA_Mean</f>
        <v/>
      </c>
      <c r="J969">
        <f>D969</f>
        <v/>
      </c>
      <c r="K969">
        <f>E969</f>
        <v/>
      </c>
      <c r="L969">
        <f>F969</f>
        <v/>
      </c>
      <c r="M969" s="11">
        <f>I969*K969</f>
        <v/>
      </c>
      <c r="N969" s="12">
        <f>LN(G969)</f>
        <v/>
      </c>
      <c r="O969" s="12">
        <f>H969*Beta_0+I969*Beta_1+J969*Beta_2+K969*Beta_3+L969*Beta_4+M969*Beta_5</f>
        <v/>
      </c>
      <c r="P969" s="12">
        <f>N969-O969</f>
        <v/>
      </c>
      <c r="Q969" s="13">
        <f>EXP(O969)*Smearing_Factor</f>
        <v/>
      </c>
    </row>
    <row r="970">
      <c r="A970" t="n">
        <v>969</v>
      </c>
      <c r="B970" t="inlineStr">
        <is>
          <t>Business, administration and law</t>
        </is>
      </c>
      <c r="C970" s="9" t="n">
        <v>3.53</v>
      </c>
      <c r="D970" t="n">
        <v>3</v>
      </c>
      <c r="E970" t="n">
        <v>0</v>
      </c>
      <c r="F970" t="n">
        <v>1</v>
      </c>
      <c r="G970" s="10" t="n">
        <v>6430</v>
      </c>
      <c r="H970" t="n">
        <v>1</v>
      </c>
      <c r="I970" s="11">
        <f>C970-CGPA_Mean</f>
        <v/>
      </c>
      <c r="J970">
        <f>D970</f>
        <v/>
      </c>
      <c r="K970">
        <f>E970</f>
        <v/>
      </c>
      <c r="L970">
        <f>F970</f>
        <v/>
      </c>
      <c r="M970" s="11">
        <f>I970*K970</f>
        <v/>
      </c>
      <c r="N970" s="12">
        <f>LN(G970)</f>
        <v/>
      </c>
      <c r="O970" s="12">
        <f>H970*Beta_0+I970*Beta_1+J970*Beta_2+K970*Beta_3+L970*Beta_4+M970*Beta_5</f>
        <v/>
      </c>
      <c r="P970" s="12">
        <f>N970-O970</f>
        <v/>
      </c>
      <c r="Q970" s="13">
        <f>EXP(O970)*Smearing_Factor</f>
        <v/>
      </c>
    </row>
    <row r="971">
      <c r="A971" t="n">
        <v>970</v>
      </c>
      <c r="B971" t="inlineStr">
        <is>
          <t>Information and communication technologies</t>
        </is>
      </c>
      <c r="C971" s="9" t="n">
        <v>3.31</v>
      </c>
      <c r="D971" t="n">
        <v>9</v>
      </c>
      <c r="E971" t="n">
        <v>1</v>
      </c>
      <c r="F971" t="n">
        <v>0</v>
      </c>
      <c r="G971" s="10" t="n">
        <v>2570</v>
      </c>
      <c r="H971" t="n">
        <v>1</v>
      </c>
      <c r="I971" s="11">
        <f>C971-CGPA_Mean</f>
        <v/>
      </c>
      <c r="J971">
        <f>D971</f>
        <v/>
      </c>
      <c r="K971">
        <f>E971</f>
        <v/>
      </c>
      <c r="L971">
        <f>F971</f>
        <v/>
      </c>
      <c r="M971" s="11">
        <f>I971*K971</f>
        <v/>
      </c>
      <c r="N971" s="12">
        <f>LN(G971)</f>
        <v/>
      </c>
      <c r="O971" s="12">
        <f>H971*Beta_0+I971*Beta_1+J971*Beta_2+K971*Beta_3+L971*Beta_4+M971*Beta_5</f>
        <v/>
      </c>
      <c r="P971" s="12">
        <f>N971-O971</f>
        <v/>
      </c>
      <c r="Q971" s="13">
        <f>EXP(O971)*Smearing_Factor</f>
        <v/>
      </c>
    </row>
    <row r="972">
      <c r="A972" t="n">
        <v>971</v>
      </c>
      <c r="B972" t="inlineStr">
        <is>
          <t>Engineering, manufacturing and construction</t>
        </is>
      </c>
      <c r="C972" s="9" t="n">
        <v>3.67</v>
      </c>
      <c r="D972" t="n">
        <v>3</v>
      </c>
      <c r="E972" t="n">
        <v>1</v>
      </c>
      <c r="F972" t="n">
        <v>1</v>
      </c>
      <c r="G972" s="10" t="n">
        <v>5520</v>
      </c>
      <c r="H972" t="n">
        <v>1</v>
      </c>
      <c r="I972" s="11">
        <f>C972-CGPA_Mean</f>
        <v/>
      </c>
      <c r="J972">
        <f>D972</f>
        <v/>
      </c>
      <c r="K972">
        <f>E972</f>
        <v/>
      </c>
      <c r="L972">
        <f>F972</f>
        <v/>
      </c>
      <c r="M972" s="11">
        <f>I972*K972</f>
        <v/>
      </c>
      <c r="N972" s="12">
        <f>LN(G972)</f>
        <v/>
      </c>
      <c r="O972" s="12">
        <f>H972*Beta_0+I972*Beta_1+J972*Beta_2+K972*Beta_3+L972*Beta_4+M972*Beta_5</f>
        <v/>
      </c>
      <c r="P972" s="12">
        <f>N972-O972</f>
        <v/>
      </c>
      <c r="Q972" s="13">
        <f>EXP(O972)*Smearing_Factor</f>
        <v/>
      </c>
    </row>
    <row r="973">
      <c r="A973" t="n">
        <v>972</v>
      </c>
      <c r="B973" t="inlineStr">
        <is>
          <t>Health and welfare</t>
        </is>
      </c>
      <c r="C973" s="9" t="n">
        <v>3.54</v>
      </c>
      <c r="D973" t="n">
        <v>6</v>
      </c>
      <c r="E973" t="n">
        <v>0</v>
      </c>
      <c r="F973" t="n">
        <v>0</v>
      </c>
      <c r="G973" s="10" t="n">
        <v>1880</v>
      </c>
      <c r="H973" t="n">
        <v>1</v>
      </c>
      <c r="I973" s="11">
        <f>C973-CGPA_Mean</f>
        <v/>
      </c>
      <c r="J973">
        <f>D973</f>
        <v/>
      </c>
      <c r="K973">
        <f>E973</f>
        <v/>
      </c>
      <c r="L973">
        <f>F973</f>
        <v/>
      </c>
      <c r="M973" s="11">
        <f>I973*K973</f>
        <v/>
      </c>
      <c r="N973" s="12">
        <f>LN(G973)</f>
        <v/>
      </c>
      <c r="O973" s="12">
        <f>H973*Beta_0+I973*Beta_1+J973*Beta_2+K973*Beta_3+L973*Beta_4+M973*Beta_5</f>
        <v/>
      </c>
      <c r="P973" s="12">
        <f>N973-O973</f>
        <v/>
      </c>
      <c r="Q973" s="13">
        <f>EXP(O973)*Smearing_Factor</f>
        <v/>
      </c>
    </row>
    <row r="974">
      <c r="A974" t="n">
        <v>973</v>
      </c>
      <c r="B974" t="inlineStr">
        <is>
          <t>Education</t>
        </is>
      </c>
      <c r="C974" s="9" t="n">
        <v>3.27</v>
      </c>
      <c r="D974" t="n">
        <v>6</v>
      </c>
      <c r="E974" t="n">
        <v>0</v>
      </c>
      <c r="F974" t="n">
        <v>0</v>
      </c>
      <c r="G974" s="10" t="n">
        <v>830</v>
      </c>
      <c r="H974" t="n">
        <v>1</v>
      </c>
      <c r="I974" s="11">
        <f>C974-CGPA_Mean</f>
        <v/>
      </c>
      <c r="J974">
        <f>D974</f>
        <v/>
      </c>
      <c r="K974">
        <f>E974</f>
        <v/>
      </c>
      <c r="L974">
        <f>F974</f>
        <v/>
      </c>
      <c r="M974" s="11">
        <f>I974*K974</f>
        <v/>
      </c>
      <c r="N974" s="12">
        <f>LN(G974)</f>
        <v/>
      </c>
      <c r="O974" s="12">
        <f>H974*Beta_0+I974*Beta_1+J974*Beta_2+K974*Beta_3+L974*Beta_4+M974*Beta_5</f>
        <v/>
      </c>
      <c r="P974" s="12">
        <f>N974-O974</f>
        <v/>
      </c>
      <c r="Q974" s="13">
        <f>EXP(O974)*Smearing_Factor</f>
        <v/>
      </c>
    </row>
    <row r="975">
      <c r="A975" t="n">
        <v>974</v>
      </c>
      <c r="B975" t="inlineStr">
        <is>
          <t>Information and communication technologies</t>
        </is>
      </c>
      <c r="C975" s="9" t="n">
        <v>3.11</v>
      </c>
      <c r="D975" t="n">
        <v>3</v>
      </c>
      <c r="E975" t="n">
        <v>1</v>
      </c>
      <c r="F975" t="n">
        <v>0</v>
      </c>
      <c r="G975" s="10" t="n">
        <v>2460</v>
      </c>
      <c r="H975" t="n">
        <v>1</v>
      </c>
      <c r="I975" s="11">
        <f>C975-CGPA_Mean</f>
        <v/>
      </c>
      <c r="J975">
        <f>D975</f>
        <v/>
      </c>
      <c r="K975">
        <f>E975</f>
        <v/>
      </c>
      <c r="L975">
        <f>F975</f>
        <v/>
      </c>
      <c r="M975" s="11">
        <f>I975*K975</f>
        <v/>
      </c>
      <c r="N975" s="12">
        <f>LN(G975)</f>
        <v/>
      </c>
      <c r="O975" s="12">
        <f>H975*Beta_0+I975*Beta_1+J975*Beta_2+K975*Beta_3+L975*Beta_4+M975*Beta_5</f>
        <v/>
      </c>
      <c r="P975" s="12">
        <f>N975-O975</f>
        <v/>
      </c>
      <c r="Q975" s="13">
        <f>EXP(O975)*Smearing_Factor</f>
        <v/>
      </c>
    </row>
    <row r="976">
      <c r="A976" t="n">
        <v>975</v>
      </c>
      <c r="B976" t="inlineStr">
        <is>
          <t>Business, administration and law</t>
        </is>
      </c>
      <c r="C976" s="9" t="n">
        <v>2.9</v>
      </c>
      <c r="D976" t="n">
        <v>3</v>
      </c>
      <c r="E976" t="n">
        <v>0</v>
      </c>
      <c r="F976" t="n">
        <v>0</v>
      </c>
      <c r="G976" s="10" t="n">
        <v>1880</v>
      </c>
      <c r="H976" t="n">
        <v>1</v>
      </c>
      <c r="I976" s="11">
        <f>C976-CGPA_Mean</f>
        <v/>
      </c>
      <c r="J976">
        <f>D976</f>
        <v/>
      </c>
      <c r="K976">
        <f>E976</f>
        <v/>
      </c>
      <c r="L976">
        <f>F976</f>
        <v/>
      </c>
      <c r="M976" s="11">
        <f>I976*K976</f>
        <v/>
      </c>
      <c r="N976" s="12">
        <f>LN(G976)</f>
        <v/>
      </c>
      <c r="O976" s="12">
        <f>H976*Beta_0+I976*Beta_1+J976*Beta_2+K976*Beta_3+L976*Beta_4+M976*Beta_5</f>
        <v/>
      </c>
      <c r="P976" s="12">
        <f>N976-O976</f>
        <v/>
      </c>
      <c r="Q976" s="13">
        <f>EXP(O976)*Smearing_Factor</f>
        <v/>
      </c>
    </row>
    <row r="977">
      <c r="A977" t="n">
        <v>976</v>
      </c>
      <c r="B977" t="inlineStr">
        <is>
          <t>Arts and humanities</t>
        </is>
      </c>
      <c r="C977" s="9" t="n">
        <v>3.71</v>
      </c>
      <c r="D977" t="n">
        <v>6</v>
      </c>
      <c r="E977" t="n">
        <v>0</v>
      </c>
      <c r="F977" t="n">
        <v>0</v>
      </c>
      <c r="G977" s="10" t="n">
        <v>2060</v>
      </c>
      <c r="H977" t="n">
        <v>1</v>
      </c>
      <c r="I977" s="11">
        <f>C977-CGPA_Mean</f>
        <v/>
      </c>
      <c r="J977">
        <f>D977</f>
        <v/>
      </c>
      <c r="K977">
        <f>E977</f>
        <v/>
      </c>
      <c r="L977">
        <f>F977</f>
        <v/>
      </c>
      <c r="M977" s="11">
        <f>I977*K977</f>
        <v/>
      </c>
      <c r="N977" s="12">
        <f>LN(G977)</f>
        <v/>
      </c>
      <c r="O977" s="12">
        <f>H977*Beta_0+I977*Beta_1+J977*Beta_2+K977*Beta_3+L977*Beta_4+M977*Beta_5</f>
        <v/>
      </c>
      <c r="P977" s="12">
        <f>N977-O977</f>
        <v/>
      </c>
      <c r="Q977" s="13">
        <f>EXP(O977)*Smearing_Factor</f>
        <v/>
      </c>
    </row>
    <row r="978">
      <c r="A978" t="n">
        <v>977</v>
      </c>
      <c r="B978" t="inlineStr">
        <is>
          <t>Agriculture, forestry, fisheries and veterinary</t>
        </is>
      </c>
      <c r="C978" s="9" t="n">
        <v>3.11</v>
      </c>
      <c r="D978" t="n">
        <v>6</v>
      </c>
      <c r="E978" t="n">
        <v>0</v>
      </c>
      <c r="F978" t="n">
        <v>1</v>
      </c>
      <c r="G978" s="10" t="n">
        <v>2360</v>
      </c>
      <c r="H978" t="n">
        <v>1</v>
      </c>
      <c r="I978" s="11">
        <f>C978-CGPA_Mean</f>
        <v/>
      </c>
      <c r="J978">
        <f>D978</f>
        <v/>
      </c>
      <c r="K978">
        <f>E978</f>
        <v/>
      </c>
      <c r="L978">
        <f>F978</f>
        <v/>
      </c>
      <c r="M978" s="11">
        <f>I978*K978</f>
        <v/>
      </c>
      <c r="N978" s="12">
        <f>LN(G978)</f>
        <v/>
      </c>
      <c r="O978" s="12">
        <f>H978*Beta_0+I978*Beta_1+J978*Beta_2+K978*Beta_3+L978*Beta_4+M978*Beta_5</f>
        <v/>
      </c>
      <c r="P978" s="12">
        <f>N978-O978</f>
        <v/>
      </c>
      <c r="Q978" s="13">
        <f>EXP(O978)*Smearing_Factor</f>
        <v/>
      </c>
    </row>
    <row r="979">
      <c r="A979" t="n">
        <v>978</v>
      </c>
      <c r="B979" t="inlineStr">
        <is>
          <t>Engineering, manufacturing and construction</t>
        </is>
      </c>
      <c r="C979" s="9" t="n">
        <v>2.48</v>
      </c>
      <c r="D979" t="n">
        <v>9</v>
      </c>
      <c r="E979" t="n">
        <v>1</v>
      </c>
      <c r="F979" t="n">
        <v>0</v>
      </c>
      <c r="G979" s="10" t="n">
        <v>2080</v>
      </c>
      <c r="H979" t="n">
        <v>1</v>
      </c>
      <c r="I979" s="11">
        <f>C979-CGPA_Mean</f>
        <v/>
      </c>
      <c r="J979">
        <f>D979</f>
        <v/>
      </c>
      <c r="K979">
        <f>E979</f>
        <v/>
      </c>
      <c r="L979">
        <f>F979</f>
        <v/>
      </c>
      <c r="M979" s="11">
        <f>I979*K979</f>
        <v/>
      </c>
      <c r="N979" s="12">
        <f>LN(G979)</f>
        <v/>
      </c>
      <c r="O979" s="12">
        <f>H979*Beta_0+I979*Beta_1+J979*Beta_2+K979*Beta_3+L979*Beta_4+M979*Beta_5</f>
        <v/>
      </c>
      <c r="P979" s="12">
        <f>N979-O979</f>
        <v/>
      </c>
      <c r="Q979" s="13">
        <f>EXP(O979)*Smearing_Factor</f>
        <v/>
      </c>
    </row>
    <row r="980">
      <c r="A980" t="n">
        <v>979</v>
      </c>
      <c r="B980" t="inlineStr">
        <is>
          <t>Arts and humanities</t>
        </is>
      </c>
      <c r="C980" s="9" t="n">
        <v>3.49</v>
      </c>
      <c r="D980" t="n">
        <v>6</v>
      </c>
      <c r="E980" t="n">
        <v>0</v>
      </c>
      <c r="F980" t="n">
        <v>0</v>
      </c>
      <c r="G980" s="10" t="n">
        <v>2010</v>
      </c>
      <c r="H980" t="n">
        <v>1</v>
      </c>
      <c r="I980" s="11">
        <f>C980-CGPA_Mean</f>
        <v/>
      </c>
      <c r="J980">
        <f>D980</f>
        <v/>
      </c>
      <c r="K980">
        <f>E980</f>
        <v/>
      </c>
      <c r="L980">
        <f>F980</f>
        <v/>
      </c>
      <c r="M980" s="11">
        <f>I980*K980</f>
        <v/>
      </c>
      <c r="N980" s="12">
        <f>LN(G980)</f>
        <v/>
      </c>
      <c r="O980" s="12">
        <f>H980*Beta_0+I980*Beta_1+J980*Beta_2+K980*Beta_3+L980*Beta_4+M980*Beta_5</f>
        <v/>
      </c>
      <c r="P980" s="12">
        <f>N980-O980</f>
        <v/>
      </c>
      <c r="Q980" s="13">
        <f>EXP(O980)*Smearing_Factor</f>
        <v/>
      </c>
    </row>
    <row r="981">
      <c r="A981" t="n">
        <v>980</v>
      </c>
      <c r="B981" t="inlineStr">
        <is>
          <t>Natural sciences, mathematics and statistics</t>
        </is>
      </c>
      <c r="C981" s="9" t="n">
        <v>3.31</v>
      </c>
      <c r="D981" t="n">
        <v>9</v>
      </c>
      <c r="E981" t="n">
        <v>1</v>
      </c>
      <c r="F981" t="n">
        <v>0</v>
      </c>
      <c r="G981" s="10" t="n">
        <v>3800</v>
      </c>
      <c r="H981" t="n">
        <v>1</v>
      </c>
      <c r="I981" s="11">
        <f>C981-CGPA_Mean</f>
        <v/>
      </c>
      <c r="J981">
        <f>D981</f>
        <v/>
      </c>
      <c r="K981">
        <f>E981</f>
        <v/>
      </c>
      <c r="L981">
        <f>F981</f>
        <v/>
      </c>
      <c r="M981" s="11">
        <f>I981*K981</f>
        <v/>
      </c>
      <c r="N981" s="12">
        <f>LN(G981)</f>
        <v/>
      </c>
      <c r="O981" s="12">
        <f>H981*Beta_0+I981*Beta_1+J981*Beta_2+K981*Beta_3+L981*Beta_4+M981*Beta_5</f>
        <v/>
      </c>
      <c r="P981" s="12">
        <f>N981-O981</f>
        <v/>
      </c>
      <c r="Q981" s="13">
        <f>EXP(O981)*Smearing_Factor</f>
        <v/>
      </c>
    </row>
    <row r="982">
      <c r="A982" t="n">
        <v>981</v>
      </c>
      <c r="B982" t="inlineStr">
        <is>
          <t>Information and communication technologies</t>
        </is>
      </c>
      <c r="C982" s="9" t="n">
        <v>2.63</v>
      </c>
      <c r="D982" t="n">
        <v>6</v>
      </c>
      <c r="E982" t="n">
        <v>1</v>
      </c>
      <c r="F982" t="n">
        <v>0</v>
      </c>
      <c r="G982" s="10" t="n">
        <v>1310</v>
      </c>
      <c r="H982" t="n">
        <v>1</v>
      </c>
      <c r="I982" s="11">
        <f>C982-CGPA_Mean</f>
        <v/>
      </c>
      <c r="J982">
        <f>D982</f>
        <v/>
      </c>
      <c r="K982">
        <f>E982</f>
        <v/>
      </c>
      <c r="L982">
        <f>F982</f>
        <v/>
      </c>
      <c r="M982" s="11">
        <f>I982*K982</f>
        <v/>
      </c>
      <c r="N982" s="12">
        <f>LN(G982)</f>
        <v/>
      </c>
      <c r="O982" s="12">
        <f>H982*Beta_0+I982*Beta_1+J982*Beta_2+K982*Beta_3+L982*Beta_4+M982*Beta_5</f>
        <v/>
      </c>
      <c r="P982" s="12">
        <f>N982-O982</f>
        <v/>
      </c>
      <c r="Q982" s="13">
        <f>EXP(O982)*Smearing_Factor</f>
        <v/>
      </c>
    </row>
    <row r="983">
      <c r="A983" t="n">
        <v>982</v>
      </c>
      <c r="B983" t="inlineStr">
        <is>
          <t>Business, administration and law</t>
        </is>
      </c>
      <c r="C983" s="9" t="n">
        <v>3.71</v>
      </c>
      <c r="D983" t="n">
        <v>6</v>
      </c>
      <c r="E983" t="n">
        <v>0</v>
      </c>
      <c r="F983" t="n">
        <v>0</v>
      </c>
      <c r="G983" s="10" t="n">
        <v>4540</v>
      </c>
      <c r="H983" t="n">
        <v>1</v>
      </c>
      <c r="I983" s="11">
        <f>C983-CGPA_Mean</f>
        <v/>
      </c>
      <c r="J983">
        <f>D983</f>
        <v/>
      </c>
      <c r="K983">
        <f>E983</f>
        <v/>
      </c>
      <c r="L983">
        <f>F983</f>
        <v/>
      </c>
      <c r="M983" s="11">
        <f>I983*K983</f>
        <v/>
      </c>
      <c r="N983" s="12">
        <f>LN(G983)</f>
        <v/>
      </c>
      <c r="O983" s="12">
        <f>H983*Beta_0+I983*Beta_1+J983*Beta_2+K983*Beta_3+L983*Beta_4+M983*Beta_5</f>
        <v/>
      </c>
      <c r="P983" s="12">
        <f>N983-O983</f>
        <v/>
      </c>
      <c r="Q983" s="13">
        <f>EXP(O983)*Smearing_Factor</f>
        <v/>
      </c>
    </row>
    <row r="984">
      <c r="A984" t="n">
        <v>983</v>
      </c>
      <c r="B984" t="inlineStr">
        <is>
          <t>Engineering, manufacturing and construction</t>
        </is>
      </c>
      <c r="C984" s="9" t="n">
        <v>2.87</v>
      </c>
      <c r="D984" t="n">
        <v>9</v>
      </c>
      <c r="E984" t="n">
        <v>1</v>
      </c>
      <c r="F984" t="n">
        <v>1</v>
      </c>
      <c r="G984" s="10" t="n">
        <v>3320</v>
      </c>
      <c r="H984" t="n">
        <v>1</v>
      </c>
      <c r="I984" s="11">
        <f>C984-CGPA_Mean</f>
        <v/>
      </c>
      <c r="J984">
        <f>D984</f>
        <v/>
      </c>
      <c r="K984">
        <f>E984</f>
        <v/>
      </c>
      <c r="L984">
        <f>F984</f>
        <v/>
      </c>
      <c r="M984" s="11">
        <f>I984*K984</f>
        <v/>
      </c>
      <c r="N984" s="12">
        <f>LN(G984)</f>
        <v/>
      </c>
      <c r="O984" s="12">
        <f>H984*Beta_0+I984*Beta_1+J984*Beta_2+K984*Beta_3+L984*Beta_4+M984*Beta_5</f>
        <v/>
      </c>
      <c r="P984" s="12">
        <f>N984-O984</f>
        <v/>
      </c>
      <c r="Q984" s="13">
        <f>EXP(O984)*Smearing_Factor</f>
        <v/>
      </c>
    </row>
    <row r="985">
      <c r="A985" t="n">
        <v>984</v>
      </c>
      <c r="B985" t="inlineStr">
        <is>
          <t>Information and communication technologies</t>
        </is>
      </c>
      <c r="C985" s="9" t="n">
        <v>3.3</v>
      </c>
      <c r="D985" t="n">
        <v>6</v>
      </c>
      <c r="E985" t="n">
        <v>1</v>
      </c>
      <c r="F985" t="n">
        <v>1</v>
      </c>
      <c r="G985" s="10" t="n">
        <v>3250</v>
      </c>
      <c r="H985" t="n">
        <v>1</v>
      </c>
      <c r="I985" s="11">
        <f>C985-CGPA_Mean</f>
        <v/>
      </c>
      <c r="J985">
        <f>D985</f>
        <v/>
      </c>
      <c r="K985">
        <f>E985</f>
        <v/>
      </c>
      <c r="L985">
        <f>F985</f>
        <v/>
      </c>
      <c r="M985" s="11">
        <f>I985*K985</f>
        <v/>
      </c>
      <c r="N985" s="12">
        <f>LN(G985)</f>
        <v/>
      </c>
      <c r="O985" s="12">
        <f>H985*Beta_0+I985*Beta_1+J985*Beta_2+K985*Beta_3+L985*Beta_4+M985*Beta_5</f>
        <v/>
      </c>
      <c r="P985" s="12">
        <f>N985-O985</f>
        <v/>
      </c>
      <c r="Q985" s="13">
        <f>EXP(O985)*Smearing_Factor</f>
        <v/>
      </c>
    </row>
    <row r="986">
      <c r="A986" t="n">
        <v>985</v>
      </c>
      <c r="B986" t="inlineStr">
        <is>
          <t>Services</t>
        </is>
      </c>
      <c r="C986" s="9" t="n">
        <v>3.08</v>
      </c>
      <c r="D986" t="n">
        <v>6</v>
      </c>
      <c r="E986" t="n">
        <v>0</v>
      </c>
      <c r="F986" t="n">
        <v>1</v>
      </c>
      <c r="G986" s="10" t="n">
        <v>2520</v>
      </c>
      <c r="H986" t="n">
        <v>1</v>
      </c>
      <c r="I986" s="11">
        <f>C986-CGPA_Mean</f>
        <v/>
      </c>
      <c r="J986">
        <f>D986</f>
        <v/>
      </c>
      <c r="K986">
        <f>E986</f>
        <v/>
      </c>
      <c r="L986">
        <f>F986</f>
        <v/>
      </c>
      <c r="M986" s="11">
        <f>I986*K986</f>
        <v/>
      </c>
      <c r="N986" s="12">
        <f>LN(G986)</f>
        <v/>
      </c>
      <c r="O986" s="12">
        <f>H986*Beta_0+I986*Beta_1+J986*Beta_2+K986*Beta_3+L986*Beta_4+M986*Beta_5</f>
        <v/>
      </c>
      <c r="P986" s="12">
        <f>N986-O986</f>
        <v/>
      </c>
      <c r="Q986" s="13">
        <f>EXP(O986)*Smearing_Factor</f>
        <v/>
      </c>
    </row>
    <row r="987">
      <c r="A987" t="n">
        <v>986</v>
      </c>
      <c r="B987" t="inlineStr">
        <is>
          <t>Natural sciences, mathematics and statistics</t>
        </is>
      </c>
      <c r="C987" s="9" t="n">
        <v>2.95</v>
      </c>
      <c r="D987" t="n">
        <v>3</v>
      </c>
      <c r="E987" t="n">
        <v>1</v>
      </c>
      <c r="F987" t="n">
        <v>0</v>
      </c>
      <c r="G987" s="10" t="n">
        <v>520</v>
      </c>
      <c r="H987" t="n">
        <v>1</v>
      </c>
      <c r="I987" s="11">
        <f>C987-CGPA_Mean</f>
        <v/>
      </c>
      <c r="J987">
        <f>D987</f>
        <v/>
      </c>
      <c r="K987">
        <f>E987</f>
        <v/>
      </c>
      <c r="L987">
        <f>F987</f>
        <v/>
      </c>
      <c r="M987" s="11">
        <f>I987*K987</f>
        <v/>
      </c>
      <c r="N987" s="12">
        <f>LN(G987)</f>
        <v/>
      </c>
      <c r="O987" s="12">
        <f>H987*Beta_0+I987*Beta_1+J987*Beta_2+K987*Beta_3+L987*Beta_4+M987*Beta_5</f>
        <v/>
      </c>
      <c r="P987" s="12">
        <f>N987-O987</f>
        <v/>
      </c>
      <c r="Q987" s="13">
        <f>EXP(O987)*Smearing_Factor</f>
        <v/>
      </c>
    </row>
    <row r="988">
      <c r="A988" t="n">
        <v>987</v>
      </c>
      <c r="B988" t="inlineStr">
        <is>
          <t>Health and welfare</t>
        </is>
      </c>
      <c r="C988" s="9" t="n">
        <v>3.21</v>
      </c>
      <c r="D988" t="n">
        <v>9</v>
      </c>
      <c r="E988" t="n">
        <v>0</v>
      </c>
      <c r="F988" t="n">
        <v>0</v>
      </c>
      <c r="G988" s="10" t="n">
        <v>3470</v>
      </c>
      <c r="H988" t="n">
        <v>1</v>
      </c>
      <c r="I988" s="11">
        <f>C988-CGPA_Mean</f>
        <v/>
      </c>
      <c r="J988">
        <f>D988</f>
        <v/>
      </c>
      <c r="K988">
        <f>E988</f>
        <v/>
      </c>
      <c r="L988">
        <f>F988</f>
        <v/>
      </c>
      <c r="M988" s="11">
        <f>I988*K988</f>
        <v/>
      </c>
      <c r="N988" s="12">
        <f>LN(G988)</f>
        <v/>
      </c>
      <c r="O988" s="12">
        <f>H988*Beta_0+I988*Beta_1+J988*Beta_2+K988*Beta_3+L988*Beta_4+M988*Beta_5</f>
        <v/>
      </c>
      <c r="P988" s="12">
        <f>N988-O988</f>
        <v/>
      </c>
      <c r="Q988" s="13">
        <f>EXP(O988)*Smearing_Factor</f>
        <v/>
      </c>
    </row>
    <row r="989">
      <c r="A989" t="n">
        <v>988</v>
      </c>
      <c r="B989" t="inlineStr">
        <is>
          <t>Engineering, manufacturing and construction</t>
        </is>
      </c>
      <c r="C989" s="9" t="n">
        <v>3.14</v>
      </c>
      <c r="D989" t="n">
        <v>6</v>
      </c>
      <c r="E989" t="n">
        <v>1</v>
      </c>
      <c r="F989" t="n">
        <v>1</v>
      </c>
      <c r="G989" s="10" t="n">
        <v>4690</v>
      </c>
      <c r="H989" t="n">
        <v>1</v>
      </c>
      <c r="I989" s="11">
        <f>C989-CGPA_Mean</f>
        <v/>
      </c>
      <c r="J989">
        <f>D989</f>
        <v/>
      </c>
      <c r="K989">
        <f>E989</f>
        <v/>
      </c>
      <c r="L989">
        <f>F989</f>
        <v/>
      </c>
      <c r="M989" s="11">
        <f>I989*K989</f>
        <v/>
      </c>
      <c r="N989" s="12">
        <f>LN(G989)</f>
        <v/>
      </c>
      <c r="O989" s="12">
        <f>H989*Beta_0+I989*Beta_1+J989*Beta_2+K989*Beta_3+L989*Beta_4+M989*Beta_5</f>
        <v/>
      </c>
      <c r="P989" s="12">
        <f>N989-O989</f>
        <v/>
      </c>
      <c r="Q989" s="13">
        <f>EXP(O989)*Smearing_Factor</f>
        <v/>
      </c>
    </row>
    <row r="990">
      <c r="A990" t="n">
        <v>989</v>
      </c>
      <c r="B990" t="inlineStr">
        <is>
          <t>Social sciences, journalism and information</t>
        </is>
      </c>
      <c r="C990" s="9" t="n">
        <v>2.76</v>
      </c>
      <c r="D990" t="n">
        <v>6</v>
      </c>
      <c r="E990" t="n">
        <v>0</v>
      </c>
      <c r="F990" t="n">
        <v>1</v>
      </c>
      <c r="G990" s="10" t="n">
        <v>1610</v>
      </c>
      <c r="H990" t="n">
        <v>1</v>
      </c>
      <c r="I990" s="11">
        <f>C990-CGPA_Mean</f>
        <v/>
      </c>
      <c r="J990">
        <f>D990</f>
        <v/>
      </c>
      <c r="K990">
        <f>E990</f>
        <v/>
      </c>
      <c r="L990">
        <f>F990</f>
        <v/>
      </c>
      <c r="M990" s="11">
        <f>I990*K990</f>
        <v/>
      </c>
      <c r="N990" s="12">
        <f>LN(G990)</f>
        <v/>
      </c>
      <c r="O990" s="12">
        <f>H990*Beta_0+I990*Beta_1+J990*Beta_2+K990*Beta_3+L990*Beta_4+M990*Beta_5</f>
        <v/>
      </c>
      <c r="P990" s="12">
        <f>N990-O990</f>
        <v/>
      </c>
      <c r="Q990" s="13">
        <f>EXP(O990)*Smearing_Factor</f>
        <v/>
      </c>
    </row>
    <row r="991">
      <c r="A991" t="n">
        <v>990</v>
      </c>
      <c r="B991" t="inlineStr">
        <is>
          <t>Business, administration and law</t>
        </is>
      </c>
      <c r="C991" s="9" t="n">
        <v>3.32</v>
      </c>
      <c r="D991" t="n">
        <v>3</v>
      </c>
      <c r="E991" t="n">
        <v>0</v>
      </c>
      <c r="F991" t="n">
        <v>0</v>
      </c>
      <c r="G991" s="10" t="n">
        <v>1600</v>
      </c>
      <c r="H991" t="n">
        <v>1</v>
      </c>
      <c r="I991" s="11">
        <f>C991-CGPA_Mean</f>
        <v/>
      </c>
      <c r="J991">
        <f>D991</f>
        <v/>
      </c>
      <c r="K991">
        <f>E991</f>
        <v/>
      </c>
      <c r="L991">
        <f>F991</f>
        <v/>
      </c>
      <c r="M991" s="11">
        <f>I991*K991</f>
        <v/>
      </c>
      <c r="N991" s="12">
        <f>LN(G991)</f>
        <v/>
      </c>
      <c r="O991" s="12">
        <f>H991*Beta_0+I991*Beta_1+J991*Beta_2+K991*Beta_3+L991*Beta_4+M991*Beta_5</f>
        <v/>
      </c>
      <c r="P991" s="12">
        <f>N991-O991</f>
        <v/>
      </c>
      <c r="Q991" s="13">
        <f>EXP(O991)*Smearing_Factor</f>
        <v/>
      </c>
    </row>
    <row r="992">
      <c r="A992" t="n">
        <v>991</v>
      </c>
      <c r="B992" t="inlineStr">
        <is>
          <t>Social sciences, journalism and information</t>
        </is>
      </c>
      <c r="C992" s="9" t="n">
        <v>2.95</v>
      </c>
      <c r="D992" t="n">
        <v>6</v>
      </c>
      <c r="E992" t="n">
        <v>0</v>
      </c>
      <c r="F992" t="n">
        <v>0</v>
      </c>
      <c r="G992" s="10" t="n">
        <v>770</v>
      </c>
      <c r="H992" t="n">
        <v>1</v>
      </c>
      <c r="I992" s="11">
        <f>C992-CGPA_Mean</f>
        <v/>
      </c>
      <c r="J992">
        <f>D992</f>
        <v/>
      </c>
      <c r="K992">
        <f>E992</f>
        <v/>
      </c>
      <c r="L992">
        <f>F992</f>
        <v/>
      </c>
      <c r="M992" s="11">
        <f>I992*K992</f>
        <v/>
      </c>
      <c r="N992" s="12">
        <f>LN(G992)</f>
        <v/>
      </c>
      <c r="O992" s="12">
        <f>H992*Beta_0+I992*Beta_1+J992*Beta_2+K992*Beta_3+L992*Beta_4+M992*Beta_5</f>
        <v/>
      </c>
      <c r="P992" s="12">
        <f>N992-O992</f>
        <v/>
      </c>
      <c r="Q992" s="13">
        <f>EXP(O992)*Smearing_Factor</f>
        <v/>
      </c>
    </row>
    <row r="993">
      <c r="A993" t="n">
        <v>992</v>
      </c>
      <c r="B993" t="inlineStr">
        <is>
          <t>Business, administration and law</t>
        </is>
      </c>
      <c r="C993" s="9" t="n">
        <v>3.08</v>
      </c>
      <c r="D993" t="n">
        <v>6</v>
      </c>
      <c r="E993" t="n">
        <v>0</v>
      </c>
      <c r="F993" t="n">
        <v>1</v>
      </c>
      <c r="G993" s="10" t="n">
        <v>1350</v>
      </c>
      <c r="H993" t="n">
        <v>1</v>
      </c>
      <c r="I993" s="11">
        <f>C993-CGPA_Mean</f>
        <v/>
      </c>
      <c r="J993">
        <f>D993</f>
        <v/>
      </c>
      <c r="K993">
        <f>E993</f>
        <v/>
      </c>
      <c r="L993">
        <f>F993</f>
        <v/>
      </c>
      <c r="M993" s="11">
        <f>I993*K993</f>
        <v/>
      </c>
      <c r="N993" s="12">
        <f>LN(G993)</f>
        <v/>
      </c>
      <c r="O993" s="12">
        <f>H993*Beta_0+I993*Beta_1+J993*Beta_2+K993*Beta_3+L993*Beta_4+M993*Beta_5</f>
        <v/>
      </c>
      <c r="P993" s="12">
        <f>N993-O993</f>
        <v/>
      </c>
      <c r="Q993" s="13">
        <f>EXP(O993)*Smearing_Factor</f>
        <v/>
      </c>
    </row>
    <row r="994">
      <c r="A994" t="n">
        <v>993</v>
      </c>
      <c r="B994" t="inlineStr">
        <is>
          <t>Health and welfare</t>
        </is>
      </c>
      <c r="C994" s="9" t="n">
        <v>3.25</v>
      </c>
      <c r="D994" t="n">
        <v>6</v>
      </c>
      <c r="E994" t="n">
        <v>0</v>
      </c>
      <c r="F994" t="n">
        <v>0</v>
      </c>
      <c r="G994" s="10" t="n">
        <v>740</v>
      </c>
      <c r="H994" t="n">
        <v>1</v>
      </c>
      <c r="I994" s="11">
        <f>C994-CGPA_Mean</f>
        <v/>
      </c>
      <c r="J994">
        <f>D994</f>
        <v/>
      </c>
      <c r="K994">
        <f>E994</f>
        <v/>
      </c>
      <c r="L994">
        <f>F994</f>
        <v/>
      </c>
      <c r="M994" s="11">
        <f>I994*K994</f>
        <v/>
      </c>
      <c r="N994" s="12">
        <f>LN(G994)</f>
        <v/>
      </c>
      <c r="O994" s="12">
        <f>H994*Beta_0+I994*Beta_1+J994*Beta_2+K994*Beta_3+L994*Beta_4+M994*Beta_5</f>
        <v/>
      </c>
      <c r="P994" s="12">
        <f>N994-O994</f>
        <v/>
      </c>
      <c r="Q994" s="13">
        <f>EXP(O994)*Smearing_Factor</f>
        <v/>
      </c>
    </row>
    <row r="995">
      <c r="A995" t="n">
        <v>994</v>
      </c>
      <c r="B995" t="inlineStr">
        <is>
          <t>Social sciences, journalism and information</t>
        </is>
      </c>
      <c r="C995" s="9" t="n">
        <v>3.61</v>
      </c>
      <c r="D995" t="n">
        <v>3</v>
      </c>
      <c r="E995" t="n">
        <v>0</v>
      </c>
      <c r="F995" t="n">
        <v>1</v>
      </c>
      <c r="G995" s="10" t="n">
        <v>1990</v>
      </c>
      <c r="H995" t="n">
        <v>1</v>
      </c>
      <c r="I995" s="11">
        <f>C995-CGPA_Mean</f>
        <v/>
      </c>
      <c r="J995">
        <f>D995</f>
        <v/>
      </c>
      <c r="K995">
        <f>E995</f>
        <v/>
      </c>
      <c r="L995">
        <f>F995</f>
        <v/>
      </c>
      <c r="M995" s="11">
        <f>I995*K995</f>
        <v/>
      </c>
      <c r="N995" s="12">
        <f>LN(G995)</f>
        <v/>
      </c>
      <c r="O995" s="12">
        <f>H995*Beta_0+I995*Beta_1+J995*Beta_2+K995*Beta_3+L995*Beta_4+M995*Beta_5</f>
        <v/>
      </c>
      <c r="P995" s="12">
        <f>N995-O995</f>
        <v/>
      </c>
      <c r="Q995" s="13">
        <f>EXP(O995)*Smearing_Factor</f>
        <v/>
      </c>
    </row>
    <row r="996">
      <c r="A996" t="n">
        <v>995</v>
      </c>
      <c r="B996" t="inlineStr">
        <is>
          <t>Services</t>
        </is>
      </c>
      <c r="C996" s="9" t="n">
        <v>2.89</v>
      </c>
      <c r="D996" t="n">
        <v>6</v>
      </c>
      <c r="E996" t="n">
        <v>0</v>
      </c>
      <c r="F996" t="n">
        <v>1</v>
      </c>
      <c r="G996" s="10" t="n">
        <v>1540</v>
      </c>
      <c r="H996" t="n">
        <v>1</v>
      </c>
      <c r="I996" s="11">
        <f>C996-CGPA_Mean</f>
        <v/>
      </c>
      <c r="J996">
        <f>D996</f>
        <v/>
      </c>
      <c r="K996">
        <f>E996</f>
        <v/>
      </c>
      <c r="L996">
        <f>F996</f>
        <v/>
      </c>
      <c r="M996" s="11">
        <f>I996*K996</f>
        <v/>
      </c>
      <c r="N996" s="12">
        <f>LN(G996)</f>
        <v/>
      </c>
      <c r="O996" s="12">
        <f>H996*Beta_0+I996*Beta_1+J996*Beta_2+K996*Beta_3+L996*Beta_4+M996*Beta_5</f>
        <v/>
      </c>
      <c r="P996" s="12">
        <f>N996-O996</f>
        <v/>
      </c>
      <c r="Q996" s="13">
        <f>EXP(O996)*Smearing_Factor</f>
        <v/>
      </c>
    </row>
    <row r="997">
      <c r="A997" t="n">
        <v>996</v>
      </c>
      <c r="B997" t="inlineStr">
        <is>
          <t>Engineering, manufacturing and construction</t>
        </is>
      </c>
      <c r="C997" s="9" t="n">
        <v>2.17</v>
      </c>
      <c r="D997" t="n">
        <v>3</v>
      </c>
      <c r="E997" t="n">
        <v>1</v>
      </c>
      <c r="F997" t="n">
        <v>0</v>
      </c>
      <c r="G997" s="10" t="n">
        <v>1820</v>
      </c>
      <c r="H997" t="n">
        <v>1</v>
      </c>
      <c r="I997" s="11">
        <f>C997-CGPA_Mean</f>
        <v/>
      </c>
      <c r="J997">
        <f>D997</f>
        <v/>
      </c>
      <c r="K997">
        <f>E997</f>
        <v/>
      </c>
      <c r="L997">
        <f>F997</f>
        <v/>
      </c>
      <c r="M997" s="11">
        <f>I997*K997</f>
        <v/>
      </c>
      <c r="N997" s="12">
        <f>LN(G997)</f>
        <v/>
      </c>
      <c r="O997" s="12">
        <f>H997*Beta_0+I997*Beta_1+J997*Beta_2+K997*Beta_3+L997*Beta_4+M997*Beta_5</f>
        <v/>
      </c>
      <c r="P997" s="12">
        <f>N997-O997</f>
        <v/>
      </c>
      <c r="Q997" s="13">
        <f>EXP(O997)*Smearing_Factor</f>
        <v/>
      </c>
    </row>
    <row r="998">
      <c r="A998" t="n">
        <v>997</v>
      </c>
      <c r="B998" t="inlineStr">
        <is>
          <t>Health and welfare</t>
        </is>
      </c>
      <c r="C998" s="9" t="n">
        <v>3.32</v>
      </c>
      <c r="D998" t="n">
        <v>9</v>
      </c>
      <c r="E998" t="n">
        <v>0</v>
      </c>
      <c r="F998" t="n">
        <v>0</v>
      </c>
      <c r="G998" s="10" t="n">
        <v>7800</v>
      </c>
      <c r="H998" t="n">
        <v>1</v>
      </c>
      <c r="I998" s="11">
        <f>C998-CGPA_Mean</f>
        <v/>
      </c>
      <c r="J998">
        <f>D998</f>
        <v/>
      </c>
      <c r="K998">
        <f>E998</f>
        <v/>
      </c>
      <c r="L998">
        <f>F998</f>
        <v/>
      </c>
      <c r="M998" s="11">
        <f>I998*K998</f>
        <v/>
      </c>
      <c r="N998" s="12">
        <f>LN(G998)</f>
        <v/>
      </c>
      <c r="O998" s="12">
        <f>H998*Beta_0+I998*Beta_1+J998*Beta_2+K998*Beta_3+L998*Beta_4+M998*Beta_5</f>
        <v/>
      </c>
      <c r="P998" s="12">
        <f>N998-O998</f>
        <v/>
      </c>
      <c r="Q998" s="13">
        <f>EXP(O998)*Smearing_Factor</f>
        <v/>
      </c>
    </row>
    <row r="999">
      <c r="A999" t="n">
        <v>998</v>
      </c>
      <c r="B999" t="inlineStr">
        <is>
          <t>Social sciences, journalism and information</t>
        </is>
      </c>
      <c r="C999" s="9" t="n">
        <v>3.19</v>
      </c>
      <c r="D999" t="n">
        <v>6</v>
      </c>
      <c r="E999" t="n">
        <v>0</v>
      </c>
      <c r="F999" t="n">
        <v>1</v>
      </c>
      <c r="G999" s="10" t="n">
        <v>1560</v>
      </c>
      <c r="H999" t="n">
        <v>1</v>
      </c>
      <c r="I999" s="11">
        <f>C999-CGPA_Mean</f>
        <v/>
      </c>
      <c r="J999">
        <f>D999</f>
        <v/>
      </c>
      <c r="K999">
        <f>E999</f>
        <v/>
      </c>
      <c r="L999">
        <f>F999</f>
        <v/>
      </c>
      <c r="M999" s="11">
        <f>I999*K999</f>
        <v/>
      </c>
      <c r="N999" s="12">
        <f>LN(G999)</f>
        <v/>
      </c>
      <c r="O999" s="12">
        <f>H999*Beta_0+I999*Beta_1+J999*Beta_2+K999*Beta_3+L999*Beta_4+M999*Beta_5</f>
        <v/>
      </c>
      <c r="P999" s="12">
        <f>N999-O999</f>
        <v/>
      </c>
      <c r="Q999" s="13">
        <f>EXP(O999)*Smearing_Factor</f>
        <v/>
      </c>
    </row>
    <row r="1000">
      <c r="A1000" t="n">
        <v>999</v>
      </c>
      <c r="B1000" t="inlineStr">
        <is>
          <t>Natural sciences, mathematics and statistics</t>
        </is>
      </c>
      <c r="C1000" s="9" t="n">
        <v>3.69</v>
      </c>
      <c r="D1000" t="n">
        <v>3</v>
      </c>
      <c r="E1000" t="n">
        <v>1</v>
      </c>
      <c r="F1000" t="n">
        <v>0</v>
      </c>
      <c r="G1000" s="10" t="n">
        <v>2080</v>
      </c>
      <c r="H1000" t="n">
        <v>1</v>
      </c>
      <c r="I1000" s="11">
        <f>C1000-CGPA_Mean</f>
        <v/>
      </c>
      <c r="J1000">
        <f>D1000</f>
        <v/>
      </c>
      <c r="K1000">
        <f>E1000</f>
        <v/>
      </c>
      <c r="L1000">
        <f>F1000</f>
        <v/>
      </c>
      <c r="M1000" s="11">
        <f>I1000*K1000</f>
        <v/>
      </c>
      <c r="N1000" s="12">
        <f>LN(G1000)</f>
        <v/>
      </c>
      <c r="O1000" s="12">
        <f>H1000*Beta_0+I1000*Beta_1+J1000*Beta_2+K1000*Beta_3+L1000*Beta_4+M1000*Beta_5</f>
        <v/>
      </c>
      <c r="P1000" s="12">
        <f>N1000-O1000</f>
        <v/>
      </c>
      <c r="Q1000" s="13">
        <f>EXP(O1000)*Smearing_Factor</f>
        <v/>
      </c>
    </row>
    <row r="1001">
      <c r="A1001" t="n">
        <v>1000</v>
      </c>
      <c r="B1001" t="inlineStr">
        <is>
          <t>Business, administration and law</t>
        </is>
      </c>
      <c r="C1001" s="9" t="n">
        <v>3.45</v>
      </c>
      <c r="D1001" t="n">
        <v>3</v>
      </c>
      <c r="E1001" t="n">
        <v>0</v>
      </c>
      <c r="F1001" t="n">
        <v>0</v>
      </c>
      <c r="G1001" s="10" t="n">
        <v>3470</v>
      </c>
      <c r="H1001" t="n">
        <v>1</v>
      </c>
      <c r="I1001" s="11">
        <f>C1001-CGPA_Mean</f>
        <v/>
      </c>
      <c r="J1001">
        <f>D1001</f>
        <v/>
      </c>
      <c r="K1001">
        <f>E1001</f>
        <v/>
      </c>
      <c r="L1001">
        <f>F1001</f>
        <v/>
      </c>
      <c r="M1001" s="11">
        <f>I1001*K1001</f>
        <v/>
      </c>
      <c r="N1001" s="12">
        <f>LN(G1001)</f>
        <v/>
      </c>
      <c r="O1001" s="12">
        <f>H1001*Beta_0+I1001*Beta_1+J1001*Beta_2+K1001*Beta_3+L1001*Beta_4+M1001*Beta_5</f>
        <v/>
      </c>
      <c r="P1001" s="12">
        <f>N1001-O1001</f>
        <v/>
      </c>
      <c r="Q1001" s="13">
        <f>EXP(O1001)*Smearing_Factor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OLS with native Excel formulas</t>
        </is>
      </c>
    </row>
    <row r="2">
      <c r="A2" s="2" t="inlineStr">
        <is>
          <t>Dependent variable: ln(salary). Two independent Excel routes to the same coefficients, each checked against statsmodels.</t>
        </is>
      </c>
    </row>
    <row r="4">
      <c r="A4" s="14" t="inlineStr">
        <is>
          <t>1. LINEST(Y_Vector, X_NoConst, TRUE, TRUE)</t>
        </is>
      </c>
    </row>
    <row r="5">
      <c r="A5" s="3" t="inlineStr">
        <is>
          <t>LINEST output</t>
        </is>
      </c>
      <c r="B5" s="3" t="inlineStr">
        <is>
          <t>CGPA (centred) x STEM</t>
        </is>
      </c>
      <c r="C5" s="3" t="inlineStr">
        <is>
          <t>Klang Valley</t>
        </is>
      </c>
      <c r="D5" s="3" t="inlineStr">
        <is>
          <t>STEM degree</t>
        </is>
      </c>
      <c r="E5" s="3" t="inlineStr">
        <is>
          <t>Internship months</t>
        </is>
      </c>
      <c r="F5" s="3" t="inlineStr">
        <is>
          <t>CGPA (centred)</t>
        </is>
      </c>
      <c r="G5" s="3" t="inlineStr">
        <is>
          <t>Intercept</t>
        </is>
      </c>
    </row>
    <row r="6">
      <c r="A6" s="4" t="inlineStr">
        <is>
          <t>Coefficients</t>
        </is>
      </c>
      <c r="B6" s="15">
        <f t="array" ref="B6:G10">IFERROR(LINEST(Y_Vector,X_NoConst,TRUE,TRUE),"")</f>
        <v/>
      </c>
      <c r="C6" s="15" t="n"/>
      <c r="D6" s="15" t="n"/>
      <c r="E6" s="15" t="n"/>
      <c r="F6" s="15" t="n"/>
      <c r="G6" s="15" t="n"/>
    </row>
    <row r="7">
      <c r="A7" s="4" t="inlineStr">
        <is>
          <t>Standard errors</t>
        </is>
      </c>
      <c r="B7" s="15" t="n"/>
      <c r="C7" s="15" t="n"/>
      <c r="D7" s="15" t="n"/>
      <c r="E7" s="15" t="n"/>
      <c r="F7" s="15" t="n"/>
      <c r="G7" s="15" t="n"/>
    </row>
    <row r="8">
      <c r="A8" s="4" t="inlineStr">
        <is>
          <t>R-squared | residual std error</t>
        </is>
      </c>
      <c r="B8" s="15" t="n"/>
      <c r="C8" s="15" t="n"/>
      <c r="D8" s="15" t="n"/>
      <c r="E8" s="15" t="n"/>
      <c r="F8" s="15" t="n"/>
      <c r="G8" s="15" t="n"/>
    </row>
    <row r="9">
      <c r="A9" s="4" t="inlineStr">
        <is>
          <t>F statistic | residual df</t>
        </is>
      </c>
      <c r="B9" s="15" t="n"/>
      <c r="C9" s="15" t="n"/>
      <c r="D9" s="15" t="n"/>
      <c r="E9" s="15" t="n"/>
      <c r="F9" s="15" t="n"/>
      <c r="G9" s="15" t="n"/>
    </row>
    <row r="10">
      <c r="A10" s="4" t="inlineStr">
        <is>
          <t>Regression SS | residual SS</t>
        </is>
      </c>
      <c r="B10" s="15" t="n"/>
      <c r="C10" s="15" t="n"/>
      <c r="D10" s="15" t="n"/>
      <c r="E10" s="15" t="n"/>
      <c r="F10" s="15" t="n"/>
      <c r="G10" s="15" t="n"/>
    </row>
    <row r="11">
      <c r="A11" s="2" t="inlineStr">
        <is>
          <t>Rows 3 to 5 only use the first two columns; LINEST returns #N/A for the rest, shown here as blanks.</t>
        </is>
      </c>
    </row>
    <row r="13">
      <c r="A13" s="14" t="inlineStr">
        <is>
          <t>2. Closed form: MMULT(MINVERSE(MMULT(TRANSPOSE(X),X)),MMULT(TRANSPOSE(X),Y))</t>
        </is>
      </c>
    </row>
    <row r="14">
      <c r="A14" s="3" t="inlineStr">
        <is>
          <t>Term</t>
        </is>
      </c>
      <c r="B14" s="3" t="inlineStr">
        <is>
          <t>Coefficient (MMULT)</t>
        </is>
      </c>
      <c r="C14" s="3" t="inlineStr">
        <is>
          <t>Std error</t>
        </is>
      </c>
      <c r="D14" s="3" t="inlineStr">
        <is>
          <t>t value</t>
        </is>
      </c>
      <c r="E14" s="3" t="inlineStr">
        <is>
          <t>p value</t>
        </is>
      </c>
      <c r="F14" s="3" t="inlineStr">
        <is>
          <t>95% CI low</t>
        </is>
      </c>
      <c r="G14" s="3" t="inlineStr">
        <is>
          <t>95% CI high</t>
        </is>
      </c>
      <c r="H14" s="3" t="inlineStr">
        <is>
          <t>LINEST coefficient</t>
        </is>
      </c>
      <c r="I14" s="3" t="inlineStr">
        <is>
          <t>MMULT minus LINEST</t>
        </is>
      </c>
      <c r="J14" s="3" t="inlineStr">
        <is>
          <t>statsmodels coefficient</t>
        </is>
      </c>
      <c r="K14" s="3" t="inlineStr">
        <is>
          <t>MMULT minus statsmodels</t>
        </is>
      </c>
    </row>
    <row r="15">
      <c r="A15" s="4" t="inlineStr">
        <is>
          <t>Intercept</t>
        </is>
      </c>
      <c r="B15" s="15">
        <f t="array" ref="B15:B20">MMULT(MINVERSE(MMULT(TRANSPOSE(X_Matrix),X_Matrix)),MMULT(TRANSPOSE(X_Matrix),Y_Vector))</f>
        <v/>
      </c>
      <c r="C15" s="16">
        <f>SQRT(Residual_Variance*INDEX($B$24:$G$29,1,1))</f>
        <v/>
      </c>
      <c r="D15" s="17">
        <f>B15/C15</f>
        <v/>
      </c>
      <c r="E15" s="17">
        <f>TDIST(ABS(D15),DF_Residual,2)</f>
        <v/>
      </c>
      <c r="F15" s="16">
        <f>B15-TINV(0.05,DF_Residual)*C15</f>
        <v/>
      </c>
      <c r="G15" s="16">
        <f>B15+TINV(0.05,DF_Residual)*C15</f>
        <v/>
      </c>
      <c r="H15" s="16">
        <f>INDEX($B$6:$G$6,1,6)</f>
        <v/>
      </c>
      <c r="I15" s="18">
        <f>B15-H15</f>
        <v/>
      </c>
      <c r="J15" s="19" t="n">
        <v>7.458258205726442</v>
      </c>
      <c r="K15" s="18">
        <f>B15-J15</f>
        <v/>
      </c>
    </row>
    <row r="16">
      <c r="A16" s="4" t="inlineStr">
        <is>
          <t>CGPA (centred)</t>
        </is>
      </c>
      <c r="B16" s="15" t="n"/>
      <c r="C16" s="16">
        <f>SQRT(Residual_Variance*INDEX($B$24:$G$29,2,2))</f>
        <v/>
      </c>
      <c r="D16" s="17">
        <f>B16/C16</f>
        <v/>
      </c>
      <c r="E16" s="17">
        <f>TDIST(ABS(D16),DF_Residual,2)</f>
        <v/>
      </c>
      <c r="F16" s="16">
        <f>B16-TINV(0.05,DF_Residual)*C16</f>
        <v/>
      </c>
      <c r="G16" s="16">
        <f>B16+TINV(0.05,DF_Residual)*C16</f>
        <v/>
      </c>
      <c r="H16" s="16">
        <f>INDEX($B$6:$G$6,1,5)</f>
        <v/>
      </c>
      <c r="I16" s="18">
        <f>B16-H16</f>
        <v/>
      </c>
      <c r="J16" s="19" t="n">
        <v>0.3520600450204786</v>
      </c>
      <c r="K16" s="18">
        <f>B16-J16</f>
        <v/>
      </c>
    </row>
    <row r="17">
      <c r="A17" s="4" t="inlineStr">
        <is>
          <t>Internship months</t>
        </is>
      </c>
      <c r="B17" s="15" t="n"/>
      <c r="C17" s="16">
        <f>SQRT(Residual_Variance*INDEX($B$24:$G$29,3,3))</f>
        <v/>
      </c>
      <c r="D17" s="17">
        <f>B17/C17</f>
        <v/>
      </c>
      <c r="E17" s="17">
        <f>TDIST(ABS(D17),DF_Residual,2)</f>
        <v/>
      </c>
      <c r="F17" s="16">
        <f>B17-TINV(0.05,DF_Residual)*C17</f>
        <v/>
      </c>
      <c r="G17" s="16">
        <f>B17+TINV(0.05,DF_Residual)*C17</f>
        <v/>
      </c>
      <c r="H17" s="16">
        <f>INDEX($B$6:$G$6,1,4)</f>
        <v/>
      </c>
      <c r="I17" s="18">
        <f>B17-H17</f>
        <v/>
      </c>
      <c r="J17" s="19" t="n">
        <v>0.03306411750563221</v>
      </c>
      <c r="K17" s="18">
        <f>B17-J17</f>
        <v/>
      </c>
    </row>
    <row r="18">
      <c r="A18" s="4" t="inlineStr">
        <is>
          <t>STEM degree</t>
        </is>
      </c>
      <c r="B18" s="15" t="n"/>
      <c r="C18" s="16">
        <f>SQRT(Residual_Variance*INDEX($B$24:$G$29,4,4))</f>
        <v/>
      </c>
      <c r="D18" s="17">
        <f>B18/C18</f>
        <v/>
      </c>
      <c r="E18" s="17">
        <f>TDIST(ABS(D18),DF_Residual,2)</f>
        <v/>
      </c>
      <c r="F18" s="16">
        <f>B18-TINV(0.05,DF_Residual)*C18</f>
        <v/>
      </c>
      <c r="G18" s="16">
        <f>B18+TINV(0.05,DF_Residual)*C18</f>
        <v/>
      </c>
      <c r="H18" s="16">
        <f>INDEX($B$6:$G$6,1,3)</f>
        <v/>
      </c>
      <c r="I18" s="18">
        <f>B18-H18</f>
        <v/>
      </c>
      <c r="J18" s="19" t="n">
        <v>0.1494899886231458</v>
      </c>
      <c r="K18" s="18">
        <f>B18-J18</f>
        <v/>
      </c>
    </row>
    <row r="19">
      <c r="A19" s="4" t="inlineStr">
        <is>
          <t>Klang Valley</t>
        </is>
      </c>
      <c r="B19" s="15" t="n"/>
      <c r="C19" s="16">
        <f>SQRT(Residual_Variance*INDEX($B$24:$G$29,5,5))</f>
        <v/>
      </c>
      <c r="D19" s="17">
        <f>B19/C19</f>
        <v/>
      </c>
      <c r="E19" s="17">
        <f>TDIST(ABS(D19),DF_Residual,2)</f>
        <v/>
      </c>
      <c r="F19" s="16">
        <f>B19-TINV(0.05,DF_Residual)*C19</f>
        <v/>
      </c>
      <c r="G19" s="16">
        <f>B19+TINV(0.05,DF_Residual)*C19</f>
        <v/>
      </c>
      <c r="H19" s="16">
        <f>INDEX($B$6:$G$6,1,2)</f>
        <v/>
      </c>
      <c r="I19" s="18">
        <f>B19-H19</f>
        <v/>
      </c>
      <c r="J19" s="19" t="n">
        <v>0.240646379905655</v>
      </c>
      <c r="K19" s="18">
        <f>B19-J19</f>
        <v/>
      </c>
    </row>
    <row r="20">
      <c r="A20" s="4" t="inlineStr">
        <is>
          <t>CGPA (centred) x STEM</t>
        </is>
      </c>
      <c r="B20" s="15" t="n"/>
      <c r="C20" s="16">
        <f>SQRT(Residual_Variance*INDEX($B$24:$G$29,6,6))</f>
        <v/>
      </c>
      <c r="D20" s="17">
        <f>B20/C20</f>
        <v/>
      </c>
      <c r="E20" s="17">
        <f>TDIST(ABS(D20),DF_Residual,2)</f>
        <v/>
      </c>
      <c r="F20" s="16">
        <f>B20-TINV(0.05,DF_Residual)*C20</f>
        <v/>
      </c>
      <c r="G20" s="16">
        <f>B20+TINV(0.05,DF_Residual)*C20</f>
        <v/>
      </c>
      <c r="H20" s="16">
        <f>INDEX($B$6:$G$6,1,1)</f>
        <v/>
      </c>
      <c r="I20" s="18">
        <f>B20-H20</f>
        <v/>
      </c>
      <c r="J20" s="19" t="n">
        <v>0.02973025982388222</v>
      </c>
      <c r="K20" s="18">
        <f>B20-J20</f>
        <v/>
      </c>
    </row>
    <row r="22">
      <c r="A22" s="14" t="inlineStr">
        <is>
          <t>3. (X'X)^-1 = MINVERSE(MMULT(TRANSPOSE(X_Matrix),X_Matrix))</t>
        </is>
      </c>
    </row>
    <row r="23">
      <c r="A23" s="3" t="inlineStr"/>
      <c r="B23" s="3" t="inlineStr">
        <is>
          <t>Intercept</t>
        </is>
      </c>
      <c r="C23" s="3" t="inlineStr">
        <is>
          <t>CGPA (centred)</t>
        </is>
      </c>
      <c r="D23" s="3" t="inlineStr">
        <is>
          <t>Internship months</t>
        </is>
      </c>
      <c r="E23" s="3" t="inlineStr">
        <is>
          <t>STEM degree</t>
        </is>
      </c>
      <c r="F23" s="3" t="inlineStr">
        <is>
          <t>Klang Valley</t>
        </is>
      </c>
      <c r="G23" s="3" t="inlineStr">
        <is>
          <t>CGPA (centred) x STEM</t>
        </is>
      </c>
    </row>
    <row r="24">
      <c r="A24" s="4" t="inlineStr">
        <is>
          <t>Intercept</t>
        </is>
      </c>
      <c r="B24" s="20">
        <f t="array" ref="B24:G29">MINVERSE(MMULT(TRANSPOSE(X_Matrix),X_Matrix))</f>
        <v/>
      </c>
      <c r="C24" s="20" t="n"/>
      <c r="D24" s="20" t="n"/>
      <c r="E24" s="20" t="n"/>
      <c r="F24" s="20" t="n"/>
      <c r="G24" s="20" t="n"/>
    </row>
    <row r="25">
      <c r="A25" s="4" t="inlineStr">
        <is>
          <t>CGPA (centred)</t>
        </is>
      </c>
      <c r="B25" s="20" t="n"/>
      <c r="C25" s="20" t="n"/>
      <c r="D25" s="20" t="n"/>
      <c r="E25" s="20" t="n"/>
      <c r="F25" s="20" t="n"/>
      <c r="G25" s="20" t="n"/>
    </row>
    <row r="26">
      <c r="A26" s="4" t="inlineStr">
        <is>
          <t>Internship months</t>
        </is>
      </c>
      <c r="B26" s="20" t="n"/>
      <c r="C26" s="20" t="n"/>
      <c r="D26" s="20" t="n"/>
      <c r="E26" s="20" t="n"/>
      <c r="F26" s="20" t="n"/>
      <c r="G26" s="20" t="n"/>
    </row>
    <row r="27">
      <c r="A27" s="4" t="inlineStr">
        <is>
          <t>STEM degree</t>
        </is>
      </c>
      <c r="B27" s="20" t="n"/>
      <c r="C27" s="20" t="n"/>
      <c r="D27" s="20" t="n"/>
      <c r="E27" s="20" t="n"/>
      <c r="F27" s="20" t="n"/>
      <c r="G27" s="20" t="n"/>
    </row>
    <row r="28">
      <c r="A28" s="4" t="inlineStr">
        <is>
          <t>Klang Valley</t>
        </is>
      </c>
      <c r="B28" s="20" t="n"/>
      <c r="C28" s="20" t="n"/>
      <c r="D28" s="20" t="n"/>
      <c r="E28" s="20" t="n"/>
      <c r="F28" s="20" t="n"/>
      <c r="G28" s="20" t="n"/>
    </row>
    <row r="29">
      <c r="A29" s="4" t="inlineStr">
        <is>
          <t>CGPA (centred) x STEM</t>
        </is>
      </c>
      <c r="B29" s="20" t="n"/>
      <c r="C29" s="20" t="n"/>
      <c r="D29" s="20" t="n"/>
      <c r="E29" s="20" t="n"/>
      <c r="F29" s="20" t="n"/>
      <c r="G29" s="20" t="n"/>
    </row>
    <row r="31">
      <c r="A31" s="14" t="inlineStr">
        <is>
          <t>4. Fit statistics</t>
        </is>
      </c>
    </row>
    <row r="32">
      <c r="A32" s="3" t="inlineStr">
        <is>
          <t>Statistic</t>
        </is>
      </c>
      <c r="B32" s="3" t="inlineStr">
        <is>
          <t>Excel formula</t>
        </is>
      </c>
      <c r="C32" s="3" t="inlineStr">
        <is>
          <t>statsmodels</t>
        </is>
      </c>
      <c r="D32" s="3" t="inlineStr">
        <is>
          <t>Excel minus statsmodels</t>
        </is>
      </c>
    </row>
    <row r="33">
      <c r="A33" s="4" t="inlineStr">
        <is>
          <t>Observations</t>
        </is>
      </c>
      <c r="B33" s="21">
        <f>ROWS(Y_Vector)</f>
        <v/>
      </c>
      <c r="C33" s="22" t="n">
        <v>1000</v>
      </c>
      <c r="D33" s="18">
        <f>B33-C33</f>
        <v/>
      </c>
    </row>
    <row r="34">
      <c r="A34" s="4" t="inlineStr">
        <is>
          <t>Parameters (incl. intercept)</t>
        </is>
      </c>
      <c r="B34" s="21">
        <f>COLUMNS(X_Matrix)</f>
        <v/>
      </c>
      <c r="C34" s="22" t="n">
        <v>6</v>
      </c>
      <c r="D34" s="18">
        <f>B34-C34</f>
        <v/>
      </c>
    </row>
    <row r="35">
      <c r="A35" s="4" t="inlineStr">
        <is>
          <t>Residual degrees of freedom</t>
        </is>
      </c>
      <c r="B35" s="21">
        <f>N_Obs-N_Params</f>
        <v/>
      </c>
      <c r="C35" s="22" t="n">
        <v>994</v>
      </c>
      <c r="D35" s="18">
        <f>B35-C35</f>
        <v/>
      </c>
    </row>
    <row r="36">
      <c r="A36" s="4" t="inlineStr">
        <is>
          <t>Residual sum of squares</t>
        </is>
      </c>
      <c r="B36" s="8">
        <f>SUMSQ(Residuals)</f>
        <v/>
      </c>
      <c r="C36" s="23" t="n">
        <v>240.8709054019359</v>
      </c>
      <c r="D36" s="18">
        <f>B36-C36</f>
        <v/>
      </c>
    </row>
    <row r="37">
      <c r="A37" s="4" t="inlineStr">
        <is>
          <t>Total sum of squares</t>
        </is>
      </c>
      <c r="B37" s="8">
        <f>DEVSQ(Y_Vector)</f>
        <v/>
      </c>
      <c r="C37" s="23" t="n">
        <v>279.6253058659742</v>
      </c>
      <c r="D37" s="18">
        <f>B37-C37</f>
        <v/>
      </c>
    </row>
    <row r="38">
      <c r="A38" s="4" t="inlineStr">
        <is>
          <t>Residual variance</t>
        </is>
      </c>
      <c r="B38" s="15">
        <f>SS_Residual/DF_Residual</f>
        <v/>
      </c>
      <c r="C38" s="19" t="n">
        <v>0.2423248545291106</v>
      </c>
      <c r="D38" s="18">
        <f>B38-C38</f>
        <v/>
      </c>
    </row>
    <row r="39">
      <c r="A39" s="4" t="inlineStr">
        <is>
          <t>R-squared</t>
        </is>
      </c>
      <c r="B39" s="15">
        <f>1-SS_Residual/SS_Total</f>
        <v/>
      </c>
      <c r="C39" s="19" t="n">
        <v>0.1385940387048281</v>
      </c>
      <c r="D39" s="18">
        <f>B39-C39</f>
        <v/>
      </c>
    </row>
    <row r="40">
      <c r="A40" s="4" t="inlineStr">
        <is>
          <t>Adjusted R-squared</t>
        </is>
      </c>
      <c r="B40" s="15">
        <f>1-(1-R_Squared)*(N_Obs-1)/DF_Residual</f>
        <v/>
      </c>
      <c r="C40" s="19" t="n">
        <v>0.1342610107305062</v>
      </c>
      <c r="D40" s="18">
        <f>B40-C40</f>
        <v/>
      </c>
    </row>
    <row r="41">
      <c r="A41" s="4" t="inlineStr">
        <is>
          <t>F statistic</t>
        </is>
      </c>
      <c r="B41" s="8">
        <f>((SS_Total-SS_Residual)/(N_Params-1))/Residual_Variance</f>
        <v/>
      </c>
      <c r="C41" s="23" t="n">
        <v>31.98549363774208</v>
      </c>
      <c r="D41" s="18">
        <f>B41-C41</f>
        <v/>
      </c>
    </row>
    <row r="42">
      <c r="A42" s="4" t="inlineStr">
        <is>
          <t>F p-value</t>
        </is>
      </c>
      <c r="B42" s="24">
        <f>FDIST(F_Statistic,N_Params-1,DF_Residual)</f>
        <v/>
      </c>
      <c r="C42" s="25" t="n">
        <v>2.764196339642814e-30</v>
      </c>
      <c r="D42" s="18">
        <f>B42-C42</f>
        <v/>
      </c>
    </row>
    <row r="43">
      <c r="A43" s="4" t="inlineStr">
        <is>
          <t>Log-likelihood</t>
        </is>
      </c>
      <c r="B43" s="8">
        <f>-N_Obs/2*(LN(2*PI())+LN(SS_Residual/N_Obs)+1)</f>
        <v/>
      </c>
      <c r="C43" s="23" t="n">
        <v>-707.1914575834825</v>
      </c>
      <c r="D43" s="18">
        <f>B43-C43</f>
        <v/>
      </c>
    </row>
    <row r="44">
      <c r="A44" s="4" t="inlineStr">
        <is>
          <t>AIC</t>
        </is>
      </c>
      <c r="B44" s="8">
        <f>2*N_Params-2*Log_Likelihood</f>
        <v/>
      </c>
      <c r="C44" s="23" t="n">
        <v>1426.382915166965</v>
      </c>
      <c r="D44" s="18">
        <f>B44-C44</f>
        <v/>
      </c>
    </row>
    <row r="45">
      <c r="A45" s="4" t="inlineStr">
        <is>
          <t>BIC</t>
        </is>
      </c>
      <c r="B45" s="8">
        <f>N_Params*LN(N_Obs)-2*Log_Likelihood</f>
        <v/>
      </c>
      <c r="C45" s="23" t="n">
        <v>1455.829446840858</v>
      </c>
      <c r="D45" s="18">
        <f>B45-C45</f>
        <v/>
      </c>
    </row>
    <row r="46">
      <c r="A46" s="4" t="inlineStr">
        <is>
          <t>Smearing factor (mean of exp(residual))</t>
        </is>
      </c>
      <c r="B46" s="15">
        <f>SUMPRODUCT(EXP(Residuals))/ROWS(Residuals)</f>
        <v/>
      </c>
      <c r="C46" s="19" t="n">
        <v>1.127746353994718</v>
      </c>
      <c r="D46" s="18">
        <f>B46-C46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6" customWidth="1" min="3" max="3"/>
    <col width="18" customWidth="1" min="4" max="4"/>
    <col width="12" customWidth="1" min="5" max="5"/>
    <col width="12" customWidth="1" min="6" max="6"/>
    <col width="8" customWidth="1" min="7" max="7"/>
    <col width="10" customWidth="1" min="8" max="8"/>
    <col width="16" customWidth="1" min="9" max="9"/>
    <col width="44" customWidth="1" min="10" max="10"/>
  </cols>
  <sheetData>
    <row r="1">
      <c r="A1" s="1" t="inlineStr">
        <is>
          <t>Fresh graduate starting salary model: summary</t>
        </is>
      </c>
    </row>
    <row r="2">
      <c r="A2" s="2" t="inlineStr">
        <is>
          <t>Simulated sample calibrated to KPT's Graduate Tracer Study 2024 salary bands. CGPA, internship and location effects reflect assumptions; see the Notes tab.</t>
        </is>
      </c>
    </row>
    <row r="3">
      <c r="A3" s="14" t="inlineStr">
        <is>
          <t>Regression summary: ln(salary)</t>
        </is>
      </c>
    </row>
    <row r="4">
      <c r="A4" s="3" t="inlineStr">
        <is>
          <t>Term</t>
        </is>
      </c>
      <c r="B4" s="3" t="inlineStr">
        <is>
          <t>Coefficient</t>
        </is>
      </c>
      <c r="C4" s="3" t="inlineStr">
        <is>
          <t>Std error (classical)</t>
        </is>
      </c>
      <c r="D4" s="3" t="inlineStr">
        <is>
          <t>Std error (HC3)</t>
        </is>
      </c>
      <c r="E4" s="3" t="inlineStr">
        <is>
          <t>t (HC3)</t>
        </is>
      </c>
      <c r="F4" s="3" t="inlineStr">
        <is>
          <t>p (HC3)</t>
        </is>
      </c>
      <c r="G4" s="3" t="inlineStr">
        <is>
          <t>Sig.</t>
        </is>
      </c>
      <c r="H4" s="3" t="inlineStr">
        <is>
          <t>VIF</t>
        </is>
      </c>
      <c r="I4" s="3" t="inlineStr">
        <is>
          <t>Effect on salary</t>
        </is>
      </c>
      <c r="J4" s="3" t="inlineStr">
        <is>
          <t>Read the effect as</t>
        </is>
      </c>
    </row>
    <row r="5">
      <c r="A5" s="4" t="inlineStr">
        <is>
          <t>Intercept</t>
        </is>
      </c>
      <c r="B5" s="15">
        <f>Beta_0</f>
        <v/>
      </c>
      <c r="C5" s="15">
        <f>'OLS_Native_Formulas'!C15</f>
        <v/>
      </c>
      <c r="D5" s="19" t="n">
        <v>0.05065489926425965</v>
      </c>
      <c r="E5" s="8">
        <f>IFERROR(B5/D5,"")</f>
        <v/>
      </c>
      <c r="F5" s="8">
        <f>IFERROR(TDIST(ABS(E5),DF_Residual,2),"")</f>
        <v/>
      </c>
      <c r="G5" s="26">
        <f>IF(F5="","",IF(F5&lt;0.01,"***",IF(F5&lt;0.05,"**",IF(F5&lt;0.1,"*",""))))</f>
        <v/>
      </c>
      <c r="H5" s="4" t="inlineStr"/>
      <c r="I5" s="4" t="inlineStr"/>
      <c r="J5" s="4" t="inlineStr"/>
    </row>
    <row r="6">
      <c r="A6" s="4" t="inlineStr">
        <is>
          <t>CGPA (centred)</t>
        </is>
      </c>
      <c r="B6" s="15">
        <f>Beta_1</f>
        <v/>
      </c>
      <c r="C6" s="15">
        <f>'OLS_Native_Formulas'!C16</f>
        <v/>
      </c>
      <c r="D6" s="19" t="n">
        <v>0.0604706709158556</v>
      </c>
      <c r="E6" s="8">
        <f>IFERROR(B6/D6,"")</f>
        <v/>
      </c>
      <c r="F6" s="8">
        <f>IFERROR(TDIST(ABS(E6),DF_Residual,2),"")</f>
        <v/>
      </c>
      <c r="G6" s="26">
        <f>IF(F6="","",IF(F6&lt;0.01,"***",IF(F6&lt;0.05,"**",IF(F6&lt;0.1,"*",""))))</f>
        <v/>
      </c>
      <c r="H6" s="27" t="n">
        <v>1.645935160576842</v>
      </c>
      <c r="I6" s="28">
        <f>EXP(B6)-1</f>
        <v/>
      </c>
      <c r="J6" s="4" t="inlineStr">
        <is>
          <t>per 1.00 CGPA point, non-STEM graduate</t>
        </is>
      </c>
    </row>
    <row r="7">
      <c r="A7" s="4" t="inlineStr">
        <is>
          <t>Internship months</t>
        </is>
      </c>
      <c r="B7" s="15">
        <f>Beta_2</f>
        <v/>
      </c>
      <c r="C7" s="15">
        <f>'OLS_Native_Formulas'!C17</f>
        <v/>
      </c>
      <c r="D7" s="19" t="n">
        <v>0.007450455360430993</v>
      </c>
      <c r="E7" s="8">
        <f>IFERROR(B7/D7,"")</f>
        <v/>
      </c>
      <c r="F7" s="8">
        <f>IFERROR(TDIST(ABS(E7),DF_Residual,2),"")</f>
        <v/>
      </c>
      <c r="G7" s="26">
        <f>IF(F7="","",IF(F7&lt;0.01,"***",IF(F7&lt;0.05,"**",IF(F7&lt;0.1,"*",""))))</f>
        <v/>
      </c>
      <c r="H7" s="27" t="n">
        <v>1.004177689759616</v>
      </c>
      <c r="I7" s="28">
        <f>EXP(B7)-1</f>
        <v/>
      </c>
      <c r="J7" s="4" t="inlineStr">
        <is>
          <t>per extra month of internship</t>
        </is>
      </c>
    </row>
    <row r="8">
      <c r="A8" s="4" t="inlineStr">
        <is>
          <t>STEM degree</t>
        </is>
      </c>
      <c r="B8" s="15">
        <f>Beta_3</f>
        <v/>
      </c>
      <c r="C8" s="15">
        <f>'OLS_Native_Formulas'!C18</f>
        <v/>
      </c>
      <c r="D8" s="19" t="n">
        <v>0.03172765869039405</v>
      </c>
      <c r="E8" s="8">
        <f>IFERROR(B8/D8,"")</f>
        <v/>
      </c>
      <c r="F8" s="8">
        <f>IFERROR(TDIST(ABS(E8),DF_Residual,2),"")</f>
        <v/>
      </c>
      <c r="G8" s="26">
        <f>IF(F8="","",IF(F8&lt;0.01,"***",IF(F8&lt;0.05,"**",IF(F8&lt;0.1,"*",""))))</f>
        <v/>
      </c>
      <c r="H8" s="27" t="n">
        <v>1.008631162206734</v>
      </c>
      <c r="I8" s="28">
        <f>EXP(B8)-1</f>
        <v/>
      </c>
      <c r="J8" s="4" t="inlineStr">
        <is>
          <t>STEM vs non-STEM at the average CGPA</t>
        </is>
      </c>
    </row>
    <row r="9">
      <c r="A9" s="4" t="inlineStr">
        <is>
          <t>Klang Valley</t>
        </is>
      </c>
      <c r="B9" s="15">
        <f>Beta_4</f>
        <v/>
      </c>
      <c r="C9" s="15">
        <f>'OLS_Native_Formulas'!C19</f>
        <v/>
      </c>
      <c r="D9" s="19" t="n">
        <v>0.03156860661512402</v>
      </c>
      <c r="E9" s="8">
        <f>IFERROR(B9/D9,"")</f>
        <v/>
      </c>
      <c r="F9" s="8">
        <f>IFERROR(TDIST(ABS(E9),DF_Residual,2),"")</f>
        <v/>
      </c>
      <c r="G9" s="26">
        <f>IF(F9="","",IF(F9&lt;0.01,"***",IF(F9&lt;0.05,"**",IF(F9&lt;0.1,"*",""))))</f>
        <v/>
      </c>
      <c r="H9" s="27" t="n">
        <v>1.006722791468577</v>
      </c>
      <c r="I9" s="28">
        <f>EXP(B9)-1</f>
        <v/>
      </c>
      <c r="J9" s="4" t="inlineStr">
        <is>
          <t>Klang Valley vs elsewhere</t>
        </is>
      </c>
    </row>
    <row r="10">
      <c r="A10" s="4" t="inlineStr">
        <is>
          <t>CGPA (centred) x STEM</t>
        </is>
      </c>
      <c r="B10" s="15">
        <f>Beta_5</f>
        <v/>
      </c>
      <c r="C10" s="15">
        <f>'OLS_Native_Formulas'!C20</f>
        <v/>
      </c>
      <c r="D10" s="19" t="n">
        <v>0.09013204048893105</v>
      </c>
      <c r="E10" s="8">
        <f>IFERROR(B10/D10,"")</f>
        <v/>
      </c>
      <c r="F10" s="8">
        <f>IFERROR(TDIST(ABS(E10),DF_Residual,2),"")</f>
        <v/>
      </c>
      <c r="G10" s="26">
        <f>IF(F10="","",IF(F10&lt;0.01,"***",IF(F10&lt;0.05,"**",IF(F10&lt;0.1,"*",""))))</f>
        <v/>
      </c>
      <c r="H10" s="27" t="n">
        <v>1.647347371115941</v>
      </c>
      <c r="I10" s="28">
        <f>EXP(B10)-1</f>
        <v/>
      </c>
      <c r="J10" s="4" t="inlineStr">
        <is>
          <t>extra return to 1.00 CGPA point for STEM</t>
        </is>
      </c>
    </row>
    <row r="11">
      <c r="A11" s="2" t="inlineStr">
        <is>
          <t>*** p&lt;0.01, ** p&lt;0.05, * p&lt;0.10, using HC3 heteroscedasticity-robust standard errors. Green cells are live Excel formulas; grey cells are values computed in Python.</t>
        </is>
      </c>
    </row>
    <row r="12">
      <c r="A12" s="14" t="inlineStr">
        <is>
          <t>Model fit</t>
        </is>
      </c>
    </row>
    <row r="13">
      <c r="A13" s="4" t="inlineStr">
        <is>
          <t>Observations</t>
        </is>
      </c>
      <c r="B13" s="21">
        <f>N_Obs</f>
        <v/>
      </c>
    </row>
    <row r="14">
      <c r="A14" s="4" t="inlineStr">
        <is>
          <t>R-squared</t>
        </is>
      </c>
      <c r="B14" s="8">
        <f>R_Squared</f>
        <v/>
      </c>
    </row>
    <row r="15">
      <c r="A15" s="4" t="inlineStr">
        <is>
          <t>Adjusted R-squared</t>
        </is>
      </c>
      <c r="B15" s="8">
        <f>Adj_R_Squared</f>
        <v/>
      </c>
    </row>
    <row r="16">
      <c r="A16" s="4" t="inlineStr">
        <is>
          <t>F statistic</t>
        </is>
      </c>
      <c r="B16" s="8">
        <f>F_Statistic</f>
        <v/>
      </c>
    </row>
    <row r="17">
      <c r="A17" s="4" t="inlineStr">
        <is>
          <t>AIC</t>
        </is>
      </c>
      <c r="B17" s="8">
        <f>Model_AIC</f>
        <v/>
      </c>
    </row>
    <row r="18">
      <c r="A18" s="4" t="inlineStr">
        <is>
          <t>BIC</t>
        </is>
      </c>
      <c r="B18" s="8">
        <f>Model_BIC</f>
        <v/>
      </c>
    </row>
    <row r="19">
      <c r="A19" s="4" t="inlineStr">
        <is>
          <t>Smearing factor</t>
        </is>
      </c>
      <c r="B19" s="8">
        <f>Smearing_Factor</f>
        <v/>
      </c>
    </row>
    <row r="22">
      <c r="A22" s="14" t="inlineStr">
        <is>
          <t>What-if calculator</t>
        </is>
      </c>
    </row>
    <row r="23">
      <c r="A23" s="3" t="inlineStr">
        <is>
          <t>Candidate profile</t>
        </is>
      </c>
      <c r="B23" s="3" t="inlineStr">
        <is>
          <t>Input</t>
        </is>
      </c>
      <c r="C23" s="3" t="inlineStr">
        <is>
          <t>Allowed values</t>
        </is>
      </c>
    </row>
    <row r="24">
      <c r="A24" s="4" t="inlineStr">
        <is>
          <t>CGPA</t>
        </is>
      </c>
      <c r="B24" s="6" t="n">
        <v>3.5</v>
      </c>
      <c r="C24" s="4" t="inlineStr">
        <is>
          <t>2.00 to 4.00</t>
        </is>
      </c>
    </row>
    <row r="25">
      <c r="A25" s="4" t="inlineStr">
        <is>
          <t>Internship months</t>
        </is>
      </c>
      <c r="B25" s="29" t="n">
        <v>6</v>
      </c>
      <c r="C25" s="4" t="inlineStr">
        <is>
          <t>3, 6 or 9</t>
        </is>
      </c>
    </row>
    <row r="26">
      <c r="A26" s="4" t="inlineStr">
        <is>
          <t>STEM degree</t>
        </is>
      </c>
      <c r="B26" s="29" t="n">
        <v>1</v>
      </c>
      <c r="C26" s="4" t="inlineStr">
        <is>
          <t>1 = yes, 0 = no</t>
        </is>
      </c>
    </row>
    <row r="27">
      <c r="A27" s="4" t="inlineStr">
        <is>
          <t>Works in Klang Valley</t>
        </is>
      </c>
      <c r="B27" s="29" t="n">
        <v>1</v>
      </c>
      <c r="C27" s="4" t="inlineStr">
        <is>
          <t>1 = yes, 0 = no</t>
        </is>
      </c>
    </row>
    <row r="28">
      <c r="A28" s="4" t="inlineStr">
        <is>
          <t>Graduate floor applies</t>
        </is>
      </c>
      <c r="B28" s="29" t="n">
        <v>1</v>
      </c>
      <c r="C28" s="4" t="inlineStr">
        <is>
          <t>1 = yes, 0 = no (e.g. exempt employer)</t>
        </is>
      </c>
    </row>
    <row r="30">
      <c r="A30" s="3" t="inlineStr">
        <is>
          <t>Forecast</t>
        </is>
      </c>
      <c r="B30" s="3" t="inlineStr">
        <is>
          <t>RM per month</t>
        </is>
      </c>
      <c r="C30" s="3" t="inlineStr">
        <is>
          <t>How it is worked out</t>
        </is>
      </c>
    </row>
    <row r="31">
      <c r="A31" s="4" t="inlineStr">
        <is>
          <t>Predicted ln(salary)</t>
        </is>
      </c>
      <c r="B31" s="15">
        <f>Beta_0+Beta_1*($B$24-CGPA_Mean)+Beta_2*$B$25+Beta_3*$B$26+Beta_4*$B$27+Beta_5*($B$24-CGPA_Mean)*$B$26</f>
        <v/>
      </c>
      <c r="C31" s="4" t="inlineStr">
        <is>
          <t>Regression coefficients times the profile</t>
        </is>
      </c>
    </row>
    <row r="32">
      <c r="A32" s="4" t="inlineStr">
        <is>
          <t>Forecast baseline salary</t>
        </is>
      </c>
      <c r="B32" s="30">
        <f>IFERROR(EXP($B$31)*Smearing_Factor,0)</f>
        <v/>
      </c>
      <c r="C32" s="4" t="inlineStr">
        <is>
          <t>exp(prediction) times the smearing factor</t>
        </is>
      </c>
    </row>
    <row r="33">
      <c r="A33" s="4" t="inlineStr">
        <is>
          <t>Post-policy salary</t>
        </is>
      </c>
      <c r="B33" s="30">
        <f>IFERROR(IF($B$28=1,IF($B$32&gt;=Compression_Ceiling,$B$32,(1-Compression_Alpha)*MAX($B$32,Policy_Floor)+Compression_Alpha*(Policy_Floor+(MIN(MAX($B$32,Current_Min_Wage),Compression_Ceiling)-Current_Min_Wage)*(Compression_Ceiling-Policy_Floor)/(Compression_Ceiling-Current_Min_Wage))),$B$32),$B$32)</f>
        <v/>
      </c>
      <c r="C33" s="4" t="inlineStr">
        <is>
          <t>Floor plus partial restoration of squeezed pay gaps</t>
        </is>
      </c>
    </row>
    <row r="34">
      <c r="A34" s="4" t="inlineStr">
        <is>
          <t>Raise needed to reach the floor</t>
        </is>
      </c>
      <c r="B34" s="31">
        <f>IF($B$28=1,MAX(Policy_Floor-$B$32,0),0)</f>
        <v/>
      </c>
      <c r="C34" s="4" t="inlineStr">
        <is>
          <t>Zero if the baseline is already at or above the floor</t>
        </is>
      </c>
    </row>
    <row r="35">
      <c r="A35" s="4" t="inlineStr">
        <is>
          <t>Wage compression adjustment</t>
        </is>
      </c>
      <c r="B35" s="31">
        <f>$B$33-$B$32-$B$34</f>
        <v/>
      </c>
      <c r="C35" s="4" t="inlineStr">
        <is>
          <t>Extra raise from restoring pay gaps (spillover)</t>
        </is>
      </c>
    </row>
    <row r="36">
      <c r="A36" s="4" t="inlineStr">
        <is>
          <t>Total raise</t>
        </is>
      </c>
      <c r="B36" s="31">
        <f>$B$33-$B$32</f>
        <v/>
      </c>
      <c r="C36" s="4" t="inlineStr">
        <is>
          <t>Post-policy minus baseline</t>
        </is>
      </c>
    </row>
    <row r="37">
      <c r="A37" s="4" t="inlineStr">
        <is>
          <t>Employer statutory on-cost</t>
        </is>
      </c>
      <c r="B37" s="31">
        <f>$B$33*(EPF_Employer+SOCSO_Employer+EIS_Employer+HRD_Levy)</f>
        <v/>
      </c>
      <c r="C37" s="4" t="inlineStr">
        <is>
          <t>EPF + SOCSO + EIS + HRD Corp levy on post-policy salary</t>
        </is>
      </c>
    </row>
    <row r="38">
      <c r="A38" s="4" t="inlineStr">
        <is>
          <t>Total cost of employment (TCOE)</t>
        </is>
      </c>
      <c r="B38" s="30">
        <f>$B$33+$B$37</f>
        <v/>
      </c>
      <c r="C38" s="4" t="inlineStr">
        <is>
          <t>Salary plus employer on-cost</t>
        </is>
      </c>
    </row>
    <row r="39">
      <c r="A39" s="4" t="inlineStr">
        <is>
          <t>Employee statutory deductions</t>
        </is>
      </c>
      <c r="B39" s="31">
        <f>$B$33*(EPF_Employee+SOCSO_Employee+EIS_Employee)</f>
        <v/>
      </c>
      <c r="C39" s="4" t="inlineStr">
        <is>
          <t>EPF + SOCSO + EIS</t>
        </is>
      </c>
    </row>
    <row r="40">
      <c r="A40" s="4" t="inlineStr">
        <is>
          <t>Net take-home pay (before income tax)</t>
        </is>
      </c>
      <c r="B40" s="30">
        <f>$B$33-$B$39</f>
        <v/>
      </c>
      <c r="C40" s="4" t="inlineStr">
        <is>
          <t>Income tax (PCB) is not deducted</t>
        </is>
      </c>
    </row>
  </sheetData>
  <dataValidations count="3">
    <dataValidation sqref="B24" showDropDown="0" showInputMessage="0" showErrorMessage="1" allowBlank="0" errorTitle="CGPA" error="Enter a CGPA between 2.00 and 4.00." type="decimal" operator="between">
      <formula1>2.0</formula1>
      <formula2>4.0</formula2>
    </dataValidation>
    <dataValidation sqref="B25" showDropDown="0" showInputMessage="0" showErrorMessage="1" allowBlank="0" errorTitle="Internship months" error="Choose one of: 3,6,9." type="list">
      <formula1>"3,6,9"</formula1>
    </dataValidation>
    <dataValidation sqref="B26 B27 B28" showDropDown="0" showInputMessage="0" showErrorMessage="1" allowBlank="0" errorTitle="Yes or no" error="Enter 1 for yes or 0 for no." type="list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90" customWidth="1" min="15" max="15"/>
  </cols>
  <sheetData>
    <row r="1">
      <c r="A1" s="1" t="inlineStr">
        <is>
          <t>Wage floor simulation (computed in Python)</t>
        </is>
      </c>
    </row>
    <row r="2">
      <c r="A2" s="2" t="inlineStr">
        <is>
          <t>Forward-looking: the floor is announced but not in force, so these are simulated outcomes under the stated assumptions, not measured effects.</t>
        </is>
      </c>
    </row>
    <row r="4" ht="48" customHeight="1">
      <c r="A4" s="3" t="inlineStr">
        <is>
          <t>Scenario</t>
        </is>
      </c>
      <c r="B4" s="3" t="inlineStr">
        <is>
          <t>Floor (RM)</t>
        </is>
      </c>
      <c r="C4" s="3" t="inlineStr">
        <is>
          <t>Share below floor</t>
        </is>
      </c>
      <c r="D4" s="3" t="inlineStr">
        <is>
          <t>Share receiving a raise</t>
        </is>
      </c>
      <c r="E4" s="3" t="inlineStr">
        <is>
          <t>Mean raise if raised (RM)</t>
        </is>
      </c>
      <c r="F4" s="3" t="inlineStr">
        <is>
          <t>Median before (RM)</t>
        </is>
      </c>
      <c r="G4" s="3" t="inlineStr">
        <is>
          <t>Median after (RM)</t>
        </is>
      </c>
      <c r="H4" s="3" t="inlineStr">
        <is>
          <t>Wage bill increase</t>
        </is>
      </c>
      <c r="I4" s="3" t="inlineStr">
        <is>
          <t>Extra employer cost per 1,000 graduates (RM/month)</t>
        </is>
      </c>
      <c r="J4" s="3" t="inlineStr">
        <is>
          <t>Mid-tier share raised</t>
        </is>
      </c>
      <c r="K4" s="3" t="inlineStr">
        <is>
          <t>Mid-tier mean raise (RM)</t>
        </is>
      </c>
      <c r="L4" s="3" t="inlineStr">
        <is>
          <t>Mid-tier mean raise (%)</t>
        </is>
      </c>
      <c r="M4" s="3" t="inlineStr">
        <is>
          <t>P50/P10 before</t>
        </is>
      </c>
      <c r="N4" s="3" t="inlineStr">
        <is>
          <t>P50/P10 after</t>
        </is>
      </c>
      <c r="O4" s="3" t="inlineStr">
        <is>
          <t>What the scenario assumes</t>
        </is>
      </c>
    </row>
    <row r="5">
      <c r="A5" s="4" t="inlineStr">
        <is>
          <t>A. Floor only, no spillover</t>
        </is>
      </c>
      <c r="B5" s="32" t="n">
        <v>2500</v>
      </c>
      <c r="C5" s="33" t="n">
        <v>0.496</v>
      </c>
      <c r="D5" s="33" t="n">
        <v>0.496</v>
      </c>
      <c r="E5" s="34" t="n">
        <v>756.5524193548387</v>
      </c>
      <c r="F5" s="32" t="n">
        <v>2510</v>
      </c>
      <c r="G5" s="32" t="n">
        <v>2510</v>
      </c>
      <c r="H5" s="33" t="n">
        <v>0.1348515285569001</v>
      </c>
      <c r="I5" s="32" t="n">
        <v>435102.3750000005</v>
      </c>
      <c r="J5" s="33" t="n">
        <v>0</v>
      </c>
      <c r="K5" s="34" t="n">
        <v>0</v>
      </c>
      <c r="L5" s="33" t="n">
        <v>0</v>
      </c>
      <c r="M5" s="35" t="n">
        <v>2.059064807219032</v>
      </c>
      <c r="N5" s="35" t="n">
        <v>1.004</v>
      </c>
      <c r="O5" s="4" t="inlineStr">
        <is>
          <t>RM2,500 floor, every employer complies, nobody above the floor gets a raise</t>
        </is>
      </c>
    </row>
    <row r="6">
      <c r="A6" s="4" t="inlineStr">
        <is>
          <t>B. Central: floor with spillover</t>
        </is>
      </c>
      <c r="B6" s="32" t="n">
        <v>2500</v>
      </c>
      <c r="C6" s="33" t="n">
        <v>0.496</v>
      </c>
      <c r="D6" s="33" t="n">
        <v>0.701</v>
      </c>
      <c r="E6" s="34" t="n">
        <v>570.9020446980504</v>
      </c>
      <c r="F6" s="32" t="n">
        <v>2510</v>
      </c>
      <c r="G6" s="32" t="n">
        <v>2602</v>
      </c>
      <c r="H6" s="33" t="n">
        <v>0.1438185113445383</v>
      </c>
      <c r="I6" s="32" t="n">
        <v>464034.6055000001</v>
      </c>
      <c r="J6" s="33" t="n">
        <v>1</v>
      </c>
      <c r="K6" s="34" t="n">
        <v>56.12056737588653</v>
      </c>
      <c r="L6" s="33" t="n">
        <v>0.02078679335079364</v>
      </c>
      <c r="M6" s="35" t="n">
        <v>2.059064807219032</v>
      </c>
      <c r="N6" s="35" t="n">
        <v>1.0408</v>
      </c>
      <c r="O6" s="4" t="inlineStr">
        <is>
          <t>As A, plus employers restore 25% of squeezed pay gaps up to RM3,200</t>
        </is>
      </c>
    </row>
    <row r="7">
      <c r="A7" s="4" t="inlineStr">
        <is>
          <t>C. Central with SME exemption</t>
        </is>
      </c>
      <c r="B7" s="32" t="n">
        <v>2500</v>
      </c>
      <c r="C7" s="33" t="n">
        <v>0.496</v>
      </c>
      <c r="D7" s="33" t="n">
        <v>0.412</v>
      </c>
      <c r="E7" s="34" t="n">
        <v>572.4979773462784</v>
      </c>
      <c r="F7" s="32" t="n">
        <v>2510</v>
      </c>
      <c r="G7" s="32" t="n">
        <v>2588.666666666667</v>
      </c>
      <c r="H7" s="33" t="n">
        <v>0.08476300510177803</v>
      </c>
      <c r="I7" s="32" t="n">
        <v>273490.2987500001</v>
      </c>
      <c r="J7" s="33" t="n">
        <v>0.5585106382978723</v>
      </c>
      <c r="K7" s="34" t="n">
        <v>31.51063829787235</v>
      </c>
      <c r="L7" s="33" t="n">
        <v>0.0117008007259983</v>
      </c>
      <c r="M7" s="35" t="n">
        <v>2.059064807219032</v>
      </c>
      <c r="N7" s="35" t="n">
        <v>1.356032826960014</v>
      </c>
      <c r="O7" s="4" t="inlineStr">
        <is>
          <t>As B, but only 60% of graduates work for employers the floor applies to (assumed)</t>
        </is>
      </c>
    </row>
    <row r="8">
      <c r="A8" s="4" t="inlineStr">
        <is>
          <t>D. Central after wage growth</t>
        </is>
      </c>
      <c r="B8" s="32" t="n">
        <v>2500</v>
      </c>
      <c r="C8" s="33" t="n">
        <v>0.419</v>
      </c>
      <c r="D8" s="33" t="n">
        <v>0.634</v>
      </c>
      <c r="E8" s="34" t="n">
        <v>517.0917370249738</v>
      </c>
      <c r="F8" s="32" t="n">
        <v>2742.74477</v>
      </c>
      <c r="G8" s="32" t="n">
        <v>2803.712134</v>
      </c>
      <c r="H8" s="33" t="n">
        <v>0.1078152897462907</v>
      </c>
      <c r="I8" s="32" t="n">
        <v>380126.0289970106</v>
      </c>
      <c r="J8" s="33" t="n">
        <v>1</v>
      </c>
      <c r="K8" s="34" t="n">
        <v>55.72383265597146</v>
      </c>
      <c r="L8" s="33" t="n">
        <v>0.02059392755613217</v>
      </c>
      <c r="M8" s="35" t="n">
        <v>2.059064807219032</v>
      </c>
      <c r="N8" s="35" t="n">
        <v>1.1214848536</v>
      </c>
      <c r="O8" s="4" t="inlineStr">
        <is>
          <t>As B, after 3% a year of pay growth for 3 years (2024 data to a 2027 start)</t>
        </is>
      </c>
    </row>
    <row r="9">
      <c r="A9" s="4" t="inlineStr">
        <is>
          <t>E. Minimum wage only</t>
        </is>
      </c>
      <c r="B9" s="32" t="n">
        <v>2000</v>
      </c>
      <c r="C9" s="33" t="n">
        <v>0.301</v>
      </c>
      <c r="D9" s="33" t="n">
        <v>0.5629999999999999</v>
      </c>
      <c r="E9" s="34" t="n">
        <v>325.5963587921847</v>
      </c>
      <c r="F9" s="32" t="n">
        <v>2510</v>
      </c>
      <c r="G9" s="32" t="n">
        <v>2524.25</v>
      </c>
      <c r="H9" s="33" t="n">
        <v>0.06587537598510784</v>
      </c>
      <c r="I9" s="32" t="n">
        <v>212548.8146250006</v>
      </c>
      <c r="J9" s="33" t="n">
        <v>0.3563829787234042</v>
      </c>
      <c r="K9" s="34" t="n">
        <v>3.011968085106383</v>
      </c>
      <c r="L9" s="33" t="n">
        <v>0.001179997236678729</v>
      </c>
      <c r="M9" s="35" t="n">
        <v>2.059064807219032</v>
      </c>
      <c r="N9" s="35" t="n">
        <v>1.262125</v>
      </c>
      <c r="O9" s="4" t="inlineStr">
        <is>
          <t>Only the RM2,000 national minimum wage applies to graduates; no separate graduate floor</t>
        </is>
      </c>
    </row>
    <row r="10">
      <c r="A10" s="4" t="inlineStr">
        <is>
          <t>F. Central, full-time jobs only</t>
        </is>
      </c>
      <c r="B10" s="32" t="n">
        <v>2500</v>
      </c>
      <c r="C10" s="33" t="n">
        <v>0.496</v>
      </c>
      <c r="D10" s="33" t="n">
        <v>0.569</v>
      </c>
      <c r="E10" s="34" t="n">
        <v>349.3186877562975</v>
      </c>
      <c r="F10" s="32" t="n">
        <v>2510</v>
      </c>
      <c r="G10" s="32" t="n">
        <v>2602</v>
      </c>
      <c r="H10" s="33" t="n">
        <v>0.07142812650109542</v>
      </c>
      <c r="I10" s="32" t="n">
        <v>230464.9255000004</v>
      </c>
      <c r="J10" s="33" t="n">
        <v>1</v>
      </c>
      <c r="K10" s="34" t="n">
        <v>56.12056737588653</v>
      </c>
      <c r="L10" s="33" t="n">
        <v>0.02078679335079364</v>
      </c>
      <c r="M10" s="35" t="n">
        <v>2.059064807219032</v>
      </c>
      <c r="N10" s="35" t="n">
        <v>2.134536505332239</v>
      </c>
      <c r="O10" s="4" t="inlineStr">
        <is>
          <t>As B, but graduates reporting RM1,500 or less (at or below the 2024 minimum wage, so probably not in full-time employment) are treated as outside the floor</t>
        </is>
      </c>
    </row>
    <row r="12">
      <c r="A12" s="14" t="inlineStr">
        <is>
          <t>Raise by pre-policy salary, central case</t>
        </is>
      </c>
    </row>
    <row r="13">
      <c r="A13" s="3" t="inlineStr">
        <is>
          <t>Salary before (RM)</t>
        </is>
      </c>
      <c r="B13" s="3" t="inlineStr">
        <is>
          <t>Salary after (RM)</t>
        </is>
      </c>
      <c r="C13" s="3" t="inlineStr">
        <is>
          <t>Raise from floor (RM)</t>
        </is>
      </c>
      <c r="D13" s="3" t="inlineStr">
        <is>
          <t>Raise from spillover (RM)</t>
        </is>
      </c>
      <c r="E13" s="3" t="inlineStr">
        <is>
          <t>Total raise (RM)</t>
        </is>
      </c>
    </row>
    <row r="14">
      <c r="A14" s="34" t="n">
        <v>1700</v>
      </c>
      <c r="B14" s="34" t="n">
        <v>2500</v>
      </c>
      <c r="C14" s="34" t="n">
        <v>800</v>
      </c>
      <c r="D14" s="34" t="n">
        <v>0</v>
      </c>
      <c r="E14" s="34" t="n">
        <v>800</v>
      </c>
    </row>
    <row r="15">
      <c r="A15" s="34" t="n">
        <v>1800</v>
      </c>
      <c r="B15" s="34" t="n">
        <v>2511.666666666667</v>
      </c>
      <c r="C15" s="34" t="n">
        <v>700</v>
      </c>
      <c r="D15" s="34" t="n">
        <v>11.66666666666652</v>
      </c>
      <c r="E15" s="34" t="n">
        <v>711.6666666666665</v>
      </c>
    </row>
    <row r="16">
      <c r="A16" s="34" t="n">
        <v>1900</v>
      </c>
      <c r="B16" s="34" t="n">
        <v>2523.333333333333</v>
      </c>
      <c r="C16" s="34" t="n">
        <v>600</v>
      </c>
      <c r="D16" s="34" t="n">
        <v>23.33333333333348</v>
      </c>
      <c r="E16" s="34" t="n">
        <v>623.3333333333335</v>
      </c>
    </row>
    <row r="17">
      <c r="A17" s="34" t="n">
        <v>2000</v>
      </c>
      <c r="B17" s="34" t="n">
        <v>2535</v>
      </c>
      <c r="C17" s="34" t="n">
        <v>500</v>
      </c>
      <c r="D17" s="34" t="n">
        <v>35</v>
      </c>
      <c r="E17" s="34" t="n">
        <v>535</v>
      </c>
    </row>
    <row r="18">
      <c r="A18" s="34" t="n">
        <v>2100</v>
      </c>
      <c r="B18" s="34" t="n">
        <v>2546.666666666667</v>
      </c>
      <c r="C18" s="34" t="n">
        <v>400</v>
      </c>
      <c r="D18" s="34" t="n">
        <v>46.66666666666652</v>
      </c>
      <c r="E18" s="34" t="n">
        <v>446.6666666666665</v>
      </c>
    </row>
    <row r="19">
      <c r="A19" s="34" t="n">
        <v>2200</v>
      </c>
      <c r="B19" s="34" t="n">
        <v>2558.333333333333</v>
      </c>
      <c r="C19" s="34" t="n">
        <v>300</v>
      </c>
      <c r="D19" s="34" t="n">
        <v>58.33333333333348</v>
      </c>
      <c r="E19" s="34" t="n">
        <v>358.3333333333335</v>
      </c>
    </row>
    <row r="20">
      <c r="A20" s="34" t="n">
        <v>2300</v>
      </c>
      <c r="B20" s="34" t="n">
        <v>2570</v>
      </c>
      <c r="C20" s="34" t="n">
        <v>200</v>
      </c>
      <c r="D20" s="34" t="n">
        <v>70</v>
      </c>
      <c r="E20" s="34" t="n">
        <v>270</v>
      </c>
    </row>
    <row r="21">
      <c r="A21" s="34" t="n">
        <v>2400</v>
      </c>
      <c r="B21" s="34" t="n">
        <v>2581.666666666667</v>
      </c>
      <c r="C21" s="34" t="n">
        <v>100</v>
      </c>
      <c r="D21" s="34" t="n">
        <v>81.66666666666652</v>
      </c>
      <c r="E21" s="34" t="n">
        <v>181.6666666666665</v>
      </c>
    </row>
    <row r="22">
      <c r="A22" s="34" t="n">
        <v>2500</v>
      </c>
      <c r="B22" s="34" t="n">
        <v>2593.333333333333</v>
      </c>
      <c r="C22" s="34" t="n">
        <v>0</v>
      </c>
      <c r="D22" s="34" t="n">
        <v>93.33333333333348</v>
      </c>
      <c r="E22" s="34" t="n">
        <v>93.33333333333348</v>
      </c>
    </row>
    <row r="23">
      <c r="A23" s="34" t="n">
        <v>2600</v>
      </c>
      <c r="B23" s="34" t="n">
        <v>2680</v>
      </c>
      <c r="C23" s="34" t="n">
        <v>0</v>
      </c>
      <c r="D23" s="34" t="n">
        <v>80</v>
      </c>
      <c r="E23" s="34" t="n">
        <v>80</v>
      </c>
    </row>
    <row r="24">
      <c r="A24" s="34" t="n">
        <v>2700</v>
      </c>
      <c r="B24" s="34" t="n">
        <v>2766.666666666667</v>
      </c>
      <c r="C24" s="34" t="n">
        <v>0</v>
      </c>
      <c r="D24" s="34" t="n">
        <v>66.66666666666652</v>
      </c>
      <c r="E24" s="34" t="n">
        <v>66.66666666666652</v>
      </c>
    </row>
    <row r="25">
      <c r="A25" s="34" t="n">
        <v>2800</v>
      </c>
      <c r="B25" s="34" t="n">
        <v>2853.333333333333</v>
      </c>
      <c r="C25" s="34" t="n">
        <v>0</v>
      </c>
      <c r="D25" s="34" t="n">
        <v>53.33333333333348</v>
      </c>
      <c r="E25" s="34" t="n">
        <v>53.33333333333348</v>
      </c>
    </row>
    <row r="26">
      <c r="A26" s="34" t="n">
        <v>2900</v>
      </c>
      <c r="B26" s="34" t="n">
        <v>2940</v>
      </c>
      <c r="C26" s="34" t="n">
        <v>0</v>
      </c>
      <c r="D26" s="34" t="n">
        <v>40</v>
      </c>
      <c r="E26" s="34" t="n">
        <v>40</v>
      </c>
    </row>
    <row r="27">
      <c r="A27" s="34" t="n">
        <v>3000</v>
      </c>
      <c r="B27" s="34" t="n">
        <v>3026.666666666667</v>
      </c>
      <c r="C27" s="34" t="n">
        <v>0</v>
      </c>
      <c r="D27" s="34" t="n">
        <v>26.66666666666652</v>
      </c>
      <c r="E27" s="34" t="n">
        <v>26.66666666666652</v>
      </c>
    </row>
    <row r="28">
      <c r="A28" s="34" t="n">
        <v>3100</v>
      </c>
      <c r="B28" s="34" t="n">
        <v>3113.333333333333</v>
      </c>
      <c r="C28" s="34" t="n">
        <v>0</v>
      </c>
      <c r="D28" s="34" t="n">
        <v>13.33333333333348</v>
      </c>
      <c r="E28" s="34" t="n">
        <v>13.33333333333348</v>
      </c>
    </row>
    <row r="29">
      <c r="A29" s="34" t="n">
        <v>3200</v>
      </c>
      <c r="B29" s="34" t="n">
        <v>3200</v>
      </c>
      <c r="C29" s="34" t="n">
        <v>0</v>
      </c>
      <c r="D29" s="34" t="n">
        <v>0</v>
      </c>
      <c r="E29" s="34" t="n">
        <v>0</v>
      </c>
    </row>
    <row r="31">
      <c r="A31" s="14" t="inlineStr">
        <is>
          <t>Calibration check: salary bands, published versus simulated sample</t>
        </is>
      </c>
    </row>
    <row r="32">
      <c r="A32" s="3" t="inlineStr">
        <is>
          <t>Monthly income band</t>
        </is>
      </c>
      <c r="B32" s="3" t="inlineStr">
        <is>
          <t>SKPG 2024, first degree (published)</t>
        </is>
      </c>
      <c r="C32" s="3" t="inlineStr">
        <is>
          <t>Simulated sample</t>
        </is>
      </c>
      <c r="D32" s="3" t="inlineStr">
        <is>
          <t>Difference</t>
        </is>
      </c>
    </row>
    <row r="33">
      <c r="A33" s="4" t="inlineStr">
        <is>
          <t>RM1,000 and below</t>
        </is>
      </c>
      <c r="B33" s="33" t="n">
        <v>0.06861918955727908</v>
      </c>
      <c r="C33" s="33" t="n">
        <v>0.07000000000000001</v>
      </c>
      <c r="D33" s="33">
        <f>C33-B33</f>
        <v/>
      </c>
    </row>
    <row r="34">
      <c r="A34" s="4" t="inlineStr">
        <is>
          <t>RM1,001 - RM1,500</t>
        </is>
      </c>
      <c r="B34" s="33" t="n">
        <v>0.06163451820093962</v>
      </c>
      <c r="C34" s="33" t="n">
        <v>0.062</v>
      </c>
      <c r="D34" s="33">
        <f>C34-B34</f>
        <v/>
      </c>
    </row>
    <row r="35">
      <c r="A35" s="4" t="inlineStr">
        <is>
          <t>RM1,501 - RM2,000</t>
        </is>
      </c>
      <c r="B35" s="33" t="n">
        <v>0.1752483007550231</v>
      </c>
      <c r="C35" s="33" t="n">
        <v>0.175</v>
      </c>
      <c r="D35" s="33">
        <f>C35-B35</f>
        <v/>
      </c>
    </row>
    <row r="36">
      <c r="A36" s="4" t="inlineStr">
        <is>
          <t>RM2,001 - RM2,500</t>
        </is>
      </c>
      <c r="B36" s="33" t="n">
        <v>0.1913151091150269</v>
      </c>
      <c r="C36" s="33" t="n">
        <v>0.192</v>
      </c>
      <c r="D36" s="33">
        <f>C36-B36</f>
        <v/>
      </c>
    </row>
    <row r="37">
      <c r="A37" s="4" t="inlineStr">
        <is>
          <t>RM2,501 - RM3,000</t>
        </is>
      </c>
      <c r="B37" s="33" t="n">
        <v>0.1661789201906262</v>
      </c>
      <c r="C37" s="33" t="n">
        <v>0.166</v>
      </c>
      <c r="D37" s="33">
        <f>C37-B37</f>
        <v/>
      </c>
    </row>
    <row r="38">
      <c r="A38" s="4" t="inlineStr">
        <is>
          <t>RM3,001 - RM4,000</t>
        </is>
      </c>
      <c r="B38" s="33" t="n">
        <v>0.2267981226871015</v>
      </c>
      <c r="C38" s="33" t="n">
        <v>0.227</v>
      </c>
      <c r="D38" s="33">
        <f>C38-B38</f>
        <v/>
      </c>
    </row>
    <row r="39">
      <c r="A39" s="4" t="inlineStr">
        <is>
          <t>RM4,001 - RM5,000</t>
        </is>
      </c>
      <c r="B39" s="33" t="n">
        <v>0.06622129879978811</v>
      </c>
      <c r="C39" s="33" t="n">
        <v>0.066</v>
      </c>
      <c r="D39" s="33">
        <f>C39-B39</f>
        <v/>
      </c>
    </row>
    <row r="40">
      <c r="A40" s="4" t="inlineStr">
        <is>
          <t>RM5,001 - RM10,000</t>
        </is>
      </c>
      <c r="B40" s="33" t="n">
        <v>0.03768442226858706</v>
      </c>
      <c r="C40" s="33" t="n">
        <v>0.037</v>
      </c>
      <c r="D40" s="33">
        <f>C40-B40</f>
        <v/>
      </c>
    </row>
    <row r="41">
      <c r="A41" s="4" t="inlineStr">
        <is>
          <t>More than RM10,000</t>
        </is>
      </c>
      <c r="B41" s="33" t="n">
        <v>0.00630011842562841</v>
      </c>
      <c r="C41" s="33" t="n">
        <v>0.005</v>
      </c>
      <c r="D41" s="33">
        <f>C41-B41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Notes</t>
        </is>
      </c>
    </row>
    <row r="3">
      <c r="A3" s="36" t="inlineStr">
        <is>
          <t>What is real</t>
        </is>
      </c>
    </row>
    <row r="4">
      <c r="A4" s="37" t="inlineStr">
        <is>
          <t>Salaries: drawn from the monthly income bands of first-degree graduates in KPT's Laporan Kajian Pengesanan Graduan 2024, Jadual 4o (n = 109,414), field by field.</t>
        </is>
      </c>
    </row>
    <row r="5">
      <c r="A5" s="37" t="inlineStr">
        <is>
          <t>Policy figures: Budget 2027 (9 October 2026). Minimum wage RM1,700 to RM2,000 from June 2027; RM2,500 floor for graduates and semi-skilled workers, start date not announced.</t>
        </is>
      </c>
    </row>
    <row r="6">
      <c r="A6" s="37" t="inlineStr"/>
    </row>
    <row r="7">
      <c r="A7" s="36" t="inlineStr">
        <is>
          <t>What is assumed</t>
        </is>
      </c>
    </row>
    <row r="8">
      <c r="A8" s="37" t="inlineStr">
        <is>
          <t>CGPA, internship months and Klang Valley location are not published alongside income. They are simulated, and the strength of their link to salary is set by assumption.</t>
        </is>
      </c>
    </row>
    <row r="9">
      <c r="A9" s="37" t="inlineStr">
        <is>
          <t>So the CGPA, internship, location and interaction coefficients show what the method recovers from those assumptions. They are not evidence about the Malaysian graduate labour market.</t>
        </is>
      </c>
    </row>
    <row r="10">
      <c r="A10" s="37" t="inlineStr">
        <is>
          <t>The STEM coefficient is different: it comes from the real field-by-field salary bands, given this project's definition of STEM (engineering, ICT, natural sciences/mathematics/statistics).</t>
        </is>
      </c>
    </row>
    <row r="11">
      <c r="A11" s="37" t="inlineStr">
        <is>
          <t>Salaries inside each band are spread evenly, the bottom band starts at RM500 and the top band is capped at RM15,000.</t>
        </is>
      </c>
    </row>
    <row r="12">
      <c r="A12" s="37" t="inlineStr"/>
    </row>
    <row r="13">
      <c r="A13" s="36" t="inlineStr">
        <is>
          <t>Reading the model</t>
        </is>
      </c>
    </row>
    <row r="14">
      <c r="A14" s="37" t="inlineStr">
        <is>
          <t>The dependent variable is ln(salary), so a coefficient b means roughly a 100 x (exp(b) - 1) per cent change in salary.</t>
        </is>
      </c>
    </row>
    <row r="15">
      <c r="A15" s="37" t="inlineStr">
        <is>
          <t>CGPA is centred on the sample mean, so the STEM coefficient is the STEM gap at an average CGPA.</t>
        </is>
      </c>
    </row>
    <row r="16">
      <c r="A16" s="37" t="inlineStr">
        <is>
          <t>Predictions in RM multiply exp(prediction) by the smearing factor (1.1277); without it they would give the median, not the mean.</t>
        </is>
      </c>
    </row>
    <row r="17">
      <c r="A17" s="37" t="inlineStr">
        <is>
          <t>Inference uses HC3 robust standard errors. Neither the Breusch-Pagan nor the White test rejects constant error variance at 5%; robust errors are valid either way.</t>
        </is>
      </c>
    </row>
    <row r="18">
      <c r="A18" s="37" t="inlineStr"/>
    </row>
    <row r="19">
      <c r="A19" s="36" t="inlineStr">
        <is>
          <t>Limits</t>
        </is>
      </c>
    </row>
    <row r="20">
      <c r="A20" s="37" t="inlineStr">
        <is>
          <t>Statutory contributions use flat rates. SOCSO and EIS really follow contribution tables with a wage ceiling, and income tax (PCB) is left out of take-home pay.</t>
        </is>
      </c>
    </row>
    <row r="21">
      <c r="A21" s="37" t="inlineStr">
        <is>
          <t>The simulation assumes no job losses, no change in hours and full compliance among covered employers.</t>
        </is>
      </c>
    </row>
    <row r="22">
      <c r="A22" s="37" t="inlineStr">
        <is>
          <t>The source data are 2024 salaries; scenario D on the Policy_Simulation tab shows the effect of pay growth before the floor starts.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2026-10-11T09:59:25Z</dcterms:created>
  <dcterms:modified xsi:type="dcterms:W3CDTF">2026-10-11T09:59:26Z</dcterms:modified>
</cp:coreProperties>
</file>